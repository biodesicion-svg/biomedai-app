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https://amarey-my.sharepoint.com/personal/luis_nunez_novatecnica_com_co/Documents/LUIS SAN JOSE  INFANTIL/Gestion san jose infantil/CRONOGRAMAS 2026/"/>
    </mc:Choice>
  </mc:AlternateContent>
  <xr:revisionPtr revIDLastSave="353" documentId="13_ncr:1_{8D9D2937-4202-4742-ABCF-35D75CB4BEE3}" xr6:coauthVersionLast="47" xr6:coauthVersionMax="47" xr10:uidLastSave="{E9C96A3F-298F-4E93-A9B7-1B99EC0210B6}"/>
  <bookViews>
    <workbookView xWindow="30" yWindow="750" windowWidth="20460" windowHeight="10770" firstSheet="2" activeTab="2" xr2:uid="{00000000-000D-0000-FFFF-FFFF00000000}"/>
  </bookViews>
  <sheets>
    <sheet name="2024" sheetId="1" r:id="rId1"/>
    <sheet name="2025" sheetId="3" r:id="rId2"/>
    <sheet name="2026" sheetId="5" r:id="rId3"/>
    <sheet name="Hoja1" sheetId="4" r:id="rId4"/>
  </sheets>
  <definedNames>
    <definedName name="_xlnm._FilterDatabase" localSheetId="0" hidden="1">'2024'!$A$5:$AA$48</definedName>
    <definedName name="_xlnm._FilterDatabase" localSheetId="1" hidden="1">'2025'!$A$5:$AA$58</definedName>
    <definedName name="_xlnm._FilterDatabase" localSheetId="2" hidden="1">'2026'!$A$5:$AA$48</definedName>
    <definedName name="Z_C95606EB_D0AD_4ED0_A221_7F7BC8EF7DA7_.wvu.FilterData" localSheetId="0" hidden="1">'2024'!#REF!</definedName>
    <definedName name="Z_C95606EB_D0AD_4ED0_A221_7F7BC8EF7DA7_.wvu.FilterData" localSheetId="1" hidden="1">'2025'!#REF!</definedName>
    <definedName name="Z_C95606EB_D0AD_4ED0_A221_7F7BC8EF7DA7_.wvu.FilterData" localSheetId="2" hidden="1">'2026'!#REF!</definedName>
  </definedNames>
  <calcPr calcId="191028"/>
  <customWorkbookViews>
    <customWorkbookView name="Filtro 1" guid="{C95606EB-D0AD-4ED0-A221-7F7BC8EF7DA7}" maximized="1" windowWidth="0" windowHeight="0" activeSheetId="0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2" roundtripDataSignature="AMtx7miy0Bo7oglnlcs+3mL7qrZjaSVFlw=="/>
    </ext>
  </extLst>
</workbook>
</file>

<file path=xl/calcChain.xml><?xml version="1.0" encoding="utf-8"?>
<calcChain xmlns="http://schemas.openxmlformats.org/spreadsheetml/2006/main">
  <c r="E48" i="5" l="1"/>
  <c r="G48" i="5"/>
  <c r="H48" i="5"/>
  <c r="I48" i="5"/>
  <c r="J48" i="5"/>
  <c r="K48" i="5"/>
  <c r="L48" i="5"/>
  <c r="M48" i="5"/>
  <c r="N48" i="5"/>
  <c r="O48" i="5"/>
  <c r="P48" i="5"/>
  <c r="F48" i="5"/>
  <c r="H10" i="4" l="1"/>
  <c r="H11" i="4"/>
  <c r="H12" i="4"/>
  <c r="H9" i="4"/>
  <c r="G5" i="4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6" i="3"/>
  <c r="Q21" i="1"/>
  <c r="Q9" i="1"/>
  <c r="Q10" i="1"/>
  <c r="Q11" i="1"/>
  <c r="Q12" i="1"/>
  <c r="Q13" i="1"/>
  <c r="Q14" i="1"/>
  <c r="Q15" i="1"/>
  <c r="Q16" i="1"/>
  <c r="Q17" i="1"/>
  <c r="Q18" i="1"/>
  <c r="Q19" i="1"/>
  <c r="Q20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6" i="1"/>
  <c r="Q37" i="1"/>
  <c r="Q38" i="1"/>
  <c r="Q39" i="1"/>
  <c r="Q40" i="1"/>
  <c r="Q41" i="1"/>
  <c r="Q42" i="1"/>
  <c r="Q43" i="1"/>
  <c r="Q44" i="1"/>
  <c r="Q45" i="1"/>
  <c r="Q46" i="1"/>
  <c r="Q47" i="1"/>
  <c r="Q6" i="1"/>
  <c r="Q7" i="1"/>
  <c r="Q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tc={69535228-A86A-4723-97AA-B9BEC0194F4E}</author>
    <author>tc={3D669DDE-617C-4F4D-A188-C5791E08791F}</author>
    <author>tc={A0C563CD-6F40-4EB3-B960-AEDB7C041344}</author>
    <author>tc={42A20331-6CF9-4CCA-B800-FD747B620CCE}</author>
    <author>tc={B080EF90-3D72-487F-BAAF-CBDA7435E86E}</author>
    <author>tc={DC7D6677-B783-4A33-A33E-9155F8D95E8F}</author>
    <author>tc={1022B9CA-BBB9-43AF-9004-D01FB698B80B}</author>
    <author>tc={1A5BAF39-73EB-4337-99DC-83D510800BE5}</author>
    <author>tc={AE1D59C4-9374-4B85-8A3F-8783F10F8D82}</author>
  </authors>
  <commentList>
    <comment ref="I11" authorId="0" shapeId="0" xr:uid="{69535228-A86A-4723-97AA-B9BEC0194F4E}">
      <text>
        <t>[Threaded comment]
Your version of Excel allows you to read this threaded comment; however, any edits to it will get removed if the file is opened in a newer version of Excel. Learn more: https://go.microsoft.com/fwlink/?linkid=870924
Comment:
    SE REALIZO EN ABRIL</t>
      </text>
    </comment>
    <comment ref="J12" authorId="1" shapeId="0" xr:uid="{3D669DDE-617C-4F4D-A188-C5791E08791F}">
      <text>
        <t>[Threaded comment]
Your version of Excel allows you to read this threaded comment; however, any edits to it will get removed if the file is opened in a newer version of Excel. Learn more: https://go.microsoft.com/fwlink/?linkid=870924
Comment:
    Se realizo en el mes de mayo</t>
      </text>
    </comment>
    <comment ref="G22" authorId="2" shapeId="0" xr:uid="{A0C563CD-6F40-4EB3-B960-AEDB7C041344}">
      <text>
        <t>[Threaded comment]
Your version of Excel allows you to read this threaded comment; however, any edits to it will get removed if the file is opened in a newer version of Excel. Learn more: https://go.microsoft.com/fwlink/?linkid=870924
Comment:
    Se hizo en febrero</t>
      </text>
    </comment>
    <comment ref="M34" authorId="3" shapeId="0" xr:uid="{42A20331-6CF9-4CCA-B800-FD747B620CC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REALIZO EN EL MES DE OCTUBRE POR DISPONIBILIDAD DEL PROVEEDOR </t>
      </text>
    </comment>
    <comment ref="P35" authorId="4" shapeId="0" xr:uid="{B080EF90-3D72-487F-BAAF-CBDA7435E86E}">
      <text>
        <t>[Threaded comment]
Your version of Excel allows you to read this threaded comment; however, any edits to it will get removed if the file is opened in a newer version of Excel. Learn more: https://go.microsoft.com/fwlink/?linkid=870924
Comment:
    SE REALIZO EN EL MES DE OCTUBRE</t>
      </text>
    </comment>
    <comment ref="G38" authorId="5" shapeId="0" xr:uid="{DC7D6677-B783-4A33-A33E-9155F8D95E8F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Pendiente que llegue el equipo nuevo</t>
      </text>
    </comment>
    <comment ref="M38" authorId="6" shapeId="0" xr:uid="{1022B9CA-BBB9-43AF-9004-D01FB698B80B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Pendiente que llegue el equipo nuevo</t>
      </text>
    </comment>
    <comment ref="G39" authorId="7" shapeId="0" xr:uid="{1A5BAF39-73EB-4337-99DC-83D510800BE5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Pendiente que llegue el equipo nuevo</t>
      </text>
    </comment>
    <comment ref="G40" authorId="8" shapeId="0" xr:uid="{AE1D59C4-9374-4B85-8A3F-8783F10F8D82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Pendiente que llegue el equipo nuevo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tc={B46B8B0A-AF6D-4379-B58D-B8D815434CF6}</author>
    <author>tc={27485B1E-A3BF-45AD-9B32-CCF59923F0C0}</author>
    <author>tc={6D187D54-E6E0-4F26-A3B7-A3847D13A0FF}</author>
  </authors>
  <commentList>
    <comment ref="M34" authorId="0" shapeId="0" xr:uid="{B46B8B0A-AF6D-4379-B58D-B8D815434CF6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Pendiente que llegue el equipo nuevo</t>
      </text>
    </comment>
    <comment ref="G35" authorId="1" shapeId="0" xr:uid="{27485B1E-A3BF-45AD-9B32-CCF59923F0C0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Pendiente que llegue el equipo nuevo</t>
      </text>
    </comment>
    <comment ref="G36" authorId="2" shapeId="0" xr:uid="{6D187D54-E6E0-4F26-A3B7-A3847D13A0FF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Pendiente que llegue el equipo nuevo</t>
      </text>
    </comment>
  </commentList>
</comments>
</file>

<file path=xl/sharedStrings.xml><?xml version="1.0" encoding="utf-8"?>
<sst xmlns="http://schemas.openxmlformats.org/spreadsheetml/2006/main" count="873" uniqueCount="146">
  <si>
    <t>FUNDACION HOSPITAL INFANTIL UNIVERSITARIO DE SAN JOSE
CRONOGRAMA DE CAPACITACIONES EN MANEJO Y CUIDADOS DE EQUIPO BIOMÉDICO
NIT. 900098476-8</t>
  </si>
  <si>
    <t>AÑO 2024</t>
  </si>
  <si>
    <t>AREA</t>
  </si>
  <si>
    <t>EQUIPO MEDICO</t>
  </si>
  <si>
    <t xml:space="preserve">DIRIGIDO A </t>
  </si>
  <si>
    <t xml:space="preserve">RESPONSABLE 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</si>
  <si>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</si>
  <si>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</si>
  <si>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</si>
  <si>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</si>
  <si>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</si>
  <si>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</si>
  <si>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</si>
  <si>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</si>
  <si>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</si>
  <si>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</si>
  <si>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</si>
  <si>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</si>
  <si>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Programadas</t>
  </si>
  <si>
    <t>UNIDAD CX</t>
  </si>
  <si>
    <t>MAQUINA DE ANESTESIA</t>
  </si>
  <si>
    <t xml:space="preserve">ANESTESIA </t>
  </si>
  <si>
    <t>DRAGER/ G.BARCO</t>
  </si>
  <si>
    <t>REALIZADA</t>
  </si>
  <si>
    <t>X</t>
  </si>
  <si>
    <t>CALENTADOR DE FLUIDOS</t>
  </si>
  <si>
    <t>ANESTESIA</t>
  </si>
  <si>
    <t>3M</t>
  </si>
  <si>
    <t xml:space="preserve">ECOGRAFO </t>
  </si>
  <si>
    <t>AJOVECO</t>
  </si>
  <si>
    <t xml:space="preserve">CALENTADOR DE MANTAS </t>
  </si>
  <si>
    <t>ENFERMERIA CX</t>
  </si>
  <si>
    <t>BIOTECMEDICAL</t>
  </si>
  <si>
    <t>MARCAPASOS</t>
  </si>
  <si>
    <t>MEDICOS</t>
  </si>
  <si>
    <t>NOVATECNICA</t>
  </si>
  <si>
    <t>REPROGRAMADA</t>
  </si>
  <si>
    <t>TORRES DE LAPAROSCOPIA</t>
  </si>
  <si>
    <t xml:space="preserve">ENFERMERIA </t>
  </si>
  <si>
    <t>PROVEEDORES
UCIPHARMA</t>
  </si>
  <si>
    <t>ELECTROBISTURI</t>
  </si>
  <si>
    <t>MESAS DE CIRUGIA</t>
  </si>
  <si>
    <t>DESFIBRILADOR</t>
  </si>
  <si>
    <t>JEFE ENFERMERIA</t>
  </si>
  <si>
    <t>LÁMPARA DE CIRUGIA</t>
  </si>
  <si>
    <t>ENFERMERIA</t>
  </si>
  <si>
    <t>COMPRESOR VASCULAR</t>
  </si>
  <si>
    <t>CARDINAL HEALTH</t>
  </si>
  <si>
    <t>MONITOR DE SIGNOS VITALES</t>
  </si>
  <si>
    <t>MONITOR FETAL</t>
  </si>
  <si>
    <t>ENFERMERIA PARTOS</t>
  </si>
  <si>
    <t>INCUBADORA CERRADA Y ABIERTA</t>
  </si>
  <si>
    <t xml:space="preserve">LAMPARA PIELITICA </t>
  </si>
  <si>
    <t>TORRE DE ENDOSCOPIA</t>
  </si>
  <si>
    <t>GASTROENTEROLOGIA</t>
  </si>
  <si>
    <t xml:space="preserve">LM INSTRUMENTS </t>
  </si>
  <si>
    <t>URGENCIAS PEDIATRIA</t>
  </si>
  <si>
    <t xml:space="preserve">MONITOR DE SIGNOS VITALES </t>
  </si>
  <si>
    <t>URGENCIAS ADULTOS</t>
  </si>
  <si>
    <t>URGENCIOLOGOS</t>
  </si>
  <si>
    <t>HOSPITALIZACION (2, 3, 4, 5 piso)</t>
  </si>
  <si>
    <t>HOSPITALIZACION 4 PISO</t>
  </si>
  <si>
    <t>CENTRAL DE MONITOREO</t>
  </si>
  <si>
    <t>ESTERILIZACIÓN</t>
  </si>
  <si>
    <t xml:space="preserve">INSTRUMENTADORAS QUIRURGICAS </t>
  </si>
  <si>
    <t>PROVEEDORES</t>
  </si>
  <si>
    <t>ESTERILIZADOR A VAPOR</t>
  </si>
  <si>
    <t>GETINGE
SERVIMEDICAL</t>
  </si>
  <si>
    <t>ESTER. BAJA TEMPERATURA</t>
  </si>
  <si>
    <t>SURGIPLAST</t>
  </si>
  <si>
    <t>LAVADORA  TERMODESINFECTORA</t>
  </si>
  <si>
    <t>CENTRAL / LAVADO</t>
  </si>
  <si>
    <t>GETINGE</t>
  </si>
  <si>
    <t>LAVADORA  ULTRASONIDO</t>
  </si>
  <si>
    <t>TERAPIA RESPIRATORIA</t>
  </si>
  <si>
    <t>VENTILADOR MECANICO</t>
  </si>
  <si>
    <t xml:space="preserve">TERAPEUTAS RESPIRATORIAS </t>
  </si>
  <si>
    <t xml:space="preserve">INSTRUMENTACION
</t>
  </si>
  <si>
    <t>REHABILITACION</t>
  </si>
  <si>
    <t>AUDIOMETRO</t>
  </si>
  <si>
    <t>FONOAUDIOLOGOS</t>
  </si>
  <si>
    <t>MEDIHUMANA</t>
  </si>
  <si>
    <t>IMPEDANCIOMETRO</t>
  </si>
  <si>
    <t>RADIOLOGÍA / UNIDAD QUIRURGICA</t>
  </si>
  <si>
    <t>DIAIMAGEN 
ENFERMERIA</t>
  </si>
  <si>
    <t>CONSULTA EXTERNA</t>
  </si>
  <si>
    <t>TELEPACK</t>
  </si>
  <si>
    <t xml:space="preserve">MEDICOS RESIDENTES </t>
  </si>
  <si>
    <t>BIOTRONITECH</t>
  </si>
  <si>
    <t>RINOFIBROLARINGOSCOPIO</t>
  </si>
  <si>
    <t xml:space="preserve">DESFIBRILADOR </t>
  </si>
  <si>
    <t xml:space="preserve">CARDIOLOGIA </t>
  </si>
  <si>
    <t xml:space="preserve">NOVATECNICA </t>
  </si>
  <si>
    <t>BANCO DE SANGRE</t>
  </si>
  <si>
    <t>CENTRÍFUGAS</t>
  </si>
  <si>
    <t>AGITADOR DE PLAQUETAS</t>
  </si>
  <si>
    <t xml:space="preserve">DESCONGELADOR DE PLASMA </t>
  </si>
  <si>
    <t>BPL</t>
  </si>
  <si>
    <t xml:space="preserve">GAF-GTC-FM-13 CRONOGRAMA DE CAPACITACIONES EN MANEJO Y CUIDADOS DE EQUIPO BIOMEDICO                                                                                                                                                                                                                                                                                                                                                                                                                   VERSIÓN 2 </t>
  </si>
  <si>
    <t>AÑO 2025</t>
  </si>
  <si>
    <t>DRAGER</t>
  </si>
  <si>
    <t>HOSPITALIZACION 5 PISO</t>
  </si>
  <si>
    <t>ESTERILIZACION</t>
  </si>
  <si>
    <t>MICROSCOPIO NEUROLOGICO</t>
  </si>
  <si>
    <t>INSTRUMENTACIÓN</t>
  </si>
  <si>
    <t>KAIKA</t>
  </si>
  <si>
    <t>TODOS LOS SERVICIOS</t>
  </si>
  <si>
    <t>TECNOVIGILANCIA</t>
  </si>
  <si>
    <t>UNIDAD DE CUIDADOS INTENSIVOS</t>
  </si>
  <si>
    <t>JEFES DE ENFERMERIA</t>
  </si>
  <si>
    <t>HF Y MULTILINK</t>
  </si>
  <si>
    <t>LAMPARAS DE FOTOTERAPIA</t>
  </si>
  <si>
    <t>MULTILINK</t>
  </si>
  <si>
    <t>INCUBADORAS</t>
  </si>
  <si>
    <t>NEVERA DE MEDICAMENTOS</t>
  </si>
  <si>
    <t>BOMBAS DE INFUSIÓN</t>
  </si>
  <si>
    <t>FRESSENIUS ICU MEDICAL</t>
  </si>
  <si>
    <t>BOMBAS DE NUTRICIÓN</t>
  </si>
  <si>
    <t xml:space="preserve">FRESSENIUS </t>
  </si>
  <si>
    <t>PILA DE MARCAPASOS</t>
  </si>
  <si>
    <t>INTENSIVISTAS</t>
  </si>
  <si>
    <t>LARINGOSCOPIO</t>
  </si>
  <si>
    <t>AÑO 2026</t>
  </si>
  <si>
    <t>ANUAL</t>
  </si>
  <si>
    <t>MONITOR BIS</t>
  </si>
  <si>
    <t>MEDTRONIC VIRTUAL</t>
  </si>
  <si>
    <t>VIDEOENDOSCOPIO</t>
  </si>
  <si>
    <t>BLANKETROL</t>
  </si>
  <si>
    <t>SEMESTRAL</t>
  </si>
  <si>
    <t>UNIDAD DE CUIDADOS INTERMEDIOS</t>
  </si>
  <si>
    <t>BOWA RECESTOSCOPIO</t>
  </si>
  <si>
    <t>MONITOR DE SIGNOS VITALES TESLA</t>
  </si>
  <si>
    <t>RADIOLOGÍA</t>
  </si>
  <si>
    <t>DESFIBRILADOR MINDRAY</t>
  </si>
  <si>
    <t>CAPACITACIONES</t>
  </si>
  <si>
    <t>PROGRAMADA</t>
  </si>
  <si>
    <t>EJECUTADA</t>
  </si>
  <si>
    <t>INDICADOR</t>
  </si>
  <si>
    <t>CAPACITACIONES PROGRAMADAS JULIO 2025</t>
  </si>
  <si>
    <t>TECNOLOGIA</t>
  </si>
  <si>
    <t>SERVICIO</t>
  </si>
  <si>
    <t>PRAGRAMADOS</t>
  </si>
  <si>
    <t>ASISTIDOS</t>
  </si>
  <si>
    <t>CAPACITACIONES EXTRAS JULIO 2025</t>
  </si>
  <si>
    <t>No programadas</t>
  </si>
  <si>
    <t>No asistidas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</si>
</sst>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rgb="FF000000"/>
      <name val="Arial"/>
    </font>
    <font>
      <sz val="10"/>
      <color theme="1"/>
      <name val="Arial"/>
      <family val="2"/>
    </font>
    <font>
      <b/>
      <sz val="10"/>
      <color theme="1"/>
      <name val="Century Gothic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  <scheme val="minor"/>
    </font>
    <font>
      <b/>
      <sz val="8"/>
      <color theme="0"/>
      <name val="Arial"/>
      <family val="2"/>
    </font>
    <font>
      <b/>
      <sz val="11"/>
      <color theme="1"/>
      <name val="Century Gothic"/>
      <family val="2"/>
    </font>
    <font>
      <sz val="11"/>
      <name val="Arial"/>
      <family val="2"/>
    </font>
    <font>
      <sz val="10"/>
      <color rgb="FF000000"/>
      <name val="Arial"/>
      <family val="2"/>
    </font>
    <font>
      <b/>
      <sz val="10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92">
    <xf numFmtId="0" fontId="0" fillId="0" borderId="0" xfId="0"/>
    <xf numFmtId="0" fontId="1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" fontId="1" fillId="0" borderId="10" xfId="0" applyNumberFormat="1" applyFont="1" applyBorder="1" applyAlignment="1">
      <alignment horizontal="center" vertical="center" wrapText="1"/>
    </xf>
    <xf numFmtId="1" fontId="1" fillId="0" borderId="13" xfId="0" applyNumberFormat="1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1" fontId="7" fillId="3" borderId="8" xfId="0" applyNumberFormat="1" applyFont="1" applyFill="1" applyBorder="1" applyAlignment="1">
      <alignment horizontal="center" vertical="center" wrapText="1"/>
    </xf>
    <xf numFmtId="1" fontId="7" fillId="3" borderId="9" xfId="0" applyNumberFormat="1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1" fontId="1" fillId="0" borderId="15" xfId="0" applyNumberFormat="1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1" fontId="1" fillId="0" borderId="18" xfId="0" applyNumberFormat="1" applyFont="1" applyBorder="1" applyAlignment="1">
      <alignment horizontal="center" vertical="center" wrapText="1"/>
    </xf>
    <xf numFmtId="1" fontId="1" fillId="0" borderId="14" xfId="0" applyNumberFormat="1" applyFont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0" fillId="0" borderId="13" xfId="0" applyBorder="1"/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6" fillId="0" borderId="28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1" fontId="1" fillId="0" borderId="18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2" fillId="4" borderId="13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9" fontId="0" fillId="0" borderId="13" xfId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" fillId="5" borderId="13" xfId="0" applyFont="1" applyFill="1" applyBorder="1" applyAlignment="1">
      <alignment horizontal="center" vertical="center" wrapText="1"/>
    </xf>
    <xf numFmtId="0" fontId="0" fillId="5" borderId="13" xfId="0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1" fontId="1" fillId="5" borderId="13" xfId="0" applyNumberFormat="1" applyFont="1" applyFill="1" applyBorder="1" applyAlignment="1">
      <alignment horizontal="center" vertical="center" wrapText="1"/>
    </xf>
    <xf numFmtId="1" fontId="1" fillId="0" borderId="13" xfId="0" applyNumberFormat="1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0" fontId="6" fillId="6" borderId="13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9" fillId="3" borderId="9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12" fillId="4" borderId="13" xfId="0" applyFont="1" applyFill="1" applyBorder="1" applyAlignment="1">
      <alignment horizontal="center"/>
    </xf>
    <xf numFmtId="0" fontId="12" fillId="4" borderId="31" xfId="0" applyFont="1" applyFill="1" applyBorder="1" applyAlignment="1">
      <alignment horizontal="center"/>
    </xf>
    <xf numFmtId="0" fontId="12" fillId="4" borderId="32" xfId="0" applyFont="1" applyFill="1" applyBorder="1" applyAlignment="1">
      <alignment horizontal="center"/>
    </xf>
    <xf numFmtId="0" fontId="12" fillId="4" borderId="33" xfId="0" applyFont="1" applyFill="1" applyBorder="1" applyAlignment="1">
      <alignment horizontal="center"/>
    </xf>
    <xf numFmtId="0" fontId="3" fillId="0" borderId="1" xfId="0" applyFont="1" applyBorder="1" applyAlignment="1"/>
    <xf numFmtId="0" fontId="3" fillId="0" borderId="3" xfId="0" applyFont="1" applyBorder="1" applyAlignment="1"/>
    <xf numFmtId="0" fontId="3" fillId="0" borderId="4" xfId="0" applyFont="1" applyBorder="1" applyAlignment="1"/>
    <xf numFmtId="0" fontId="0" fillId="0" borderId="0" xfId="0" applyAlignment="1"/>
    <xf numFmtId="0" fontId="3" fillId="0" borderId="6" xfId="0" applyFont="1" applyBorder="1" applyAlignment="1"/>
    <xf numFmtId="0" fontId="10" fillId="0" borderId="1" xfId="0" applyFont="1" applyBorder="1" applyAlignment="1"/>
  </cellXfs>
  <cellStyles count="2">
    <cellStyle name="Normal" xfId="0" builtinId="0"/>
    <cellStyle name="Porcentaje" xfId="1" builtinId="5"/>
  </cellStyles>
  <dxfs count="60">
    <dxf>
      <font>
        <b/>
        <i val="0"/>
      </font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99CCFF"/>
      <color rgb="FFA9B8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customschemas.google.com/relationships/workbookmetadata" Target="metadata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15" Type="http://schemas.openxmlformats.org/officeDocument/2006/relationships/sharedStrings" Target="sharedStrings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571500</xdr:colOff>
      <xdr:row>0</xdr:row>
      <xdr:rowOff>104775</xdr:rowOff>
    </xdr:from>
    <xdr:ext cx="638175" cy="800100"/>
    <xdr:pic>
      <xdr:nvPicPr>
        <xdr:cNvPr id="6" name="image1.png" title="Imagen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1500" y="104775"/>
          <a:ext cx="638175" cy="8001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571500</xdr:colOff>
      <xdr:row>0</xdr:row>
      <xdr:rowOff>104775</xdr:rowOff>
    </xdr:from>
    <xdr:ext cx="638175" cy="80010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7812033E-67AA-4A73-BD68-BEF179AE19B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1500" y="104775"/>
          <a:ext cx="638175" cy="80010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571500</xdr:colOff>
      <xdr:row>0</xdr:row>
      <xdr:rowOff>104775</xdr:rowOff>
    </xdr:from>
    <xdr:ext cx="638175" cy="80010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642DC2E8-5F5B-455E-BCE8-E1ED167FDFE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1500" y="104775"/>
          <a:ext cx="638175" cy="800100"/>
        </a:xfrm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GEYDI ALEXANDRA BAYONA VELASCO" id="{F468F420-22C2-47A4-AF8D-08A591C7F633}" userId="S::geydi.bayona@novatecnica.com.co::154f9276-833f-45fd-8884-e14caa08b73c" providerId="AD"/>
  <person displayName="NIKOL MARIANA COMETA" id="{B2FB85C1-02DC-48D8-A0DA-4A2F44F15DA6}" userId="S::nikol.cometa@novatecnica.com.co::2c919518-f702-4d19-bb48-53465268fb46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1" dT="2024-10-01T15:51:34.45" personId="{B2FB85C1-02DC-48D8-A0DA-4A2F44F15DA6}" id="{69535228-A86A-4723-97AA-B9BEC0194F4E}">
    <text>SE REALIZO EN ABRIL</text>
  </threadedComment>
  <threadedComment ref="J12" dT="2024-06-06T16:48:02.49" personId="{B2FB85C1-02DC-48D8-A0DA-4A2F44F15DA6}" id="{3D669DDE-617C-4F4D-A188-C5791E08791F}">
    <text>Se realizo en el mes de mayo</text>
  </threadedComment>
  <threadedComment ref="G22" dT="2024-04-03T22:15:05.12" personId="{F468F420-22C2-47A4-AF8D-08A591C7F633}" id="{A0C563CD-6F40-4EB3-B960-AEDB7C041344}">
    <text>Se hizo en febrero</text>
  </threadedComment>
  <threadedComment ref="M34" dT="2024-10-16T12:54:20.93" personId="{B2FB85C1-02DC-48D8-A0DA-4A2F44F15DA6}" id="{42A20331-6CF9-4CCA-B800-FD747B620CCE}">
    <text xml:space="preserve">SE REALIZO EN EL MES DE OCTUBRE POR DISPONIBILIDAD DEL PROVEEDOR </text>
  </threadedComment>
  <threadedComment ref="P35" dT="2024-10-17T15:39:54.09" personId="{B2FB85C1-02DC-48D8-A0DA-4A2F44F15DA6}" id="{B080EF90-3D72-487F-BAAF-CBDA7435E86E}">
    <text>SE REALIZO EN EL MES DE OCTUBRE</text>
  </threadedComment>
  <threadedComment ref="G38" dT="2024-05-10T15:40:51.35" personId="{F468F420-22C2-47A4-AF8D-08A591C7F633}" id="{DC7D6677-B783-4A33-A33E-9155F8D95E8F}">
    <text>Pendiente que llegue el equipo nuevo</text>
  </threadedComment>
  <threadedComment ref="M38" dT="2024-05-10T15:40:51.35" personId="{F468F420-22C2-47A4-AF8D-08A591C7F633}" id="{1022B9CA-BBB9-43AF-9004-D01FB698B80B}">
    <text>Pendiente que llegue el equipo nuevo</text>
  </threadedComment>
  <threadedComment ref="G39" dT="2024-05-10T15:40:51.35" personId="{F468F420-22C2-47A4-AF8D-08A591C7F633}" id="{1A5BAF39-73EB-4337-99DC-83D510800BE5}">
    <text>Pendiente que llegue el equipo nuevo</text>
  </threadedComment>
  <threadedComment ref="G40" dT="2024-05-10T15:40:51.35" personId="{F468F420-22C2-47A4-AF8D-08A591C7F633}" id="{AE1D59C4-9374-4B85-8A3F-8783F10F8D82}">
    <text>Pendiente que llegue el equipo nuevo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M34" dT="2024-05-10T15:40:51.35" personId="{F468F420-22C2-47A4-AF8D-08A591C7F633}" id="{B46B8B0A-AF6D-4379-B58D-B8D815434CF6}">
    <text>Pendiente que llegue el equipo nuevo</text>
  </threadedComment>
  <threadedComment ref="G35" dT="2024-05-10T15:40:51.35" personId="{F468F420-22C2-47A4-AF8D-08A591C7F633}" id="{27485B1E-A3BF-45AD-9B32-CCF59923F0C0}">
    <text>Pendiente que llegue el equipo nuevo</text>
  </threadedComment>
  <threadedComment ref="G36" dT="2024-05-10T15:40:51.35" personId="{F468F420-22C2-47A4-AF8D-08A591C7F633}" id="{6D187D54-E6E0-4F26-A3B7-A3847D13A0FF}">
    <text>Pendiente que llegue el equipo nuevo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988"/>
  <sheetViews>
    <sheetView zoomScale="60" zoomScaleNormal="60" workbookViewId="0">
      <pane ySplit="5" topLeftCell="A13" activePane="bottomLeft" state="frozen"/>
      <selection pane="bottomLeft" activeCell="B16" sqref="B16"/>
      <selection activeCell="J1" sqref="J1"/>
    </sheetView>
  </sheetViews>
  <sheetFormatPr defaultColWidth="14.42578125" defaultRowHeight="15" customHeight="1"/>
  <cols>
    <col min="1" max="1" width="26.7109375" style="37" customWidth="1"/>
    <col min="2" max="2" width="32.5703125" style="37" customWidth="1"/>
    <col min="3" max="3" width="21.7109375" style="37" customWidth="1"/>
    <col min="4" max="4" width="19.28515625" style="37" customWidth="1"/>
    <col min="5" max="16" width="13.85546875" customWidth="1"/>
    <col min="17" max="17" width="15.85546875" customWidth="1"/>
    <col min="18" max="27" width="11.42578125" customWidth="1"/>
  </cols>
  <sheetData>
    <row r="1" spans="1:27" ht="28.5" customHeight="1">
      <c r="A1" s="74"/>
      <c r="B1" s="76" t="s">
        <v>0</v>
      </c>
      <c r="C1" s="77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0.25" customHeight="1">
      <c r="A2" s="75"/>
      <c r="B2" s="87"/>
      <c r="C2" s="88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8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23.25" customHeight="1" thickBot="1">
      <c r="A3" s="75"/>
      <c r="B3" s="87"/>
      <c r="C3" s="88"/>
      <c r="D3" s="88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28.5" customHeight="1" thickBot="1">
      <c r="A4" s="76" t="s">
        <v>1</v>
      </c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20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7.25" customHeight="1">
      <c r="A5" s="21" t="s">
        <v>2</v>
      </c>
      <c r="B5" s="21" t="s">
        <v>3</v>
      </c>
      <c r="C5" s="21" t="s">
        <v>4</v>
      </c>
      <c r="D5" s="21" t="s">
        <v>5</v>
      </c>
      <c r="E5" s="13" t="s">
        <v>6</v>
      </c>
      <c r="F5" s="13" t="s">
        <v>7</v>
      </c>
      <c r="G5" s="13" t="s">
        <v>8</v>
      </c>
      <c r="H5" s="14" t="s">
        <v>9</v>
      </c>
      <c r="I5" s="14" t="s">
        <v>10</v>
      </c>
      <c r="J5" s="14" t="s">
        <v>11</v>
      </c>
      <c r="K5" s="14" t="s">
        <v>12</v>
      </c>
      <c r="L5" s="14" t="s">
        <v>13</v>
      </c>
      <c r="M5" s="14" t="s">
        <v>14</v>
      </c>
      <c r="N5" s="14" t="s">
        <v>15</v>
      </c>
      <c r="O5" s="14" t="s">
        <v>16</v>
      </c>
      <c r="P5" s="14" t="s">
        <v>17</v>
      </c>
      <c r="Q5" s="12" t="s">
        <v>18</v>
      </c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28.5" customHeight="1">
      <c r="A6" s="11" t="s">
        <v>19</v>
      </c>
      <c r="B6" s="7" t="s">
        <v>20</v>
      </c>
      <c r="C6" s="7" t="s">
        <v>21</v>
      </c>
      <c r="D6" s="7" t="s">
        <v>22</v>
      </c>
      <c r="E6" s="17"/>
      <c r="F6" s="10" t="s">
        <v>23</v>
      </c>
      <c r="G6" s="10"/>
      <c r="H6" s="10"/>
      <c r="I6" s="10"/>
      <c r="J6" s="10"/>
      <c r="K6" s="10"/>
      <c r="L6" s="10" t="s">
        <v>24</v>
      </c>
      <c r="M6" s="10"/>
      <c r="N6" s="10"/>
      <c r="O6" s="10"/>
      <c r="P6" s="10"/>
      <c r="Q6" s="3">
        <f t="shared" ref="Q6:Q47" si="0">COUNTA(E6:P6 )</f>
        <v>2</v>
      </c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28.5" customHeight="1">
      <c r="A7" s="11" t="s">
        <v>19</v>
      </c>
      <c r="B7" s="7" t="s">
        <v>25</v>
      </c>
      <c r="C7" s="7" t="s">
        <v>26</v>
      </c>
      <c r="D7" s="7" t="s">
        <v>27</v>
      </c>
      <c r="E7" s="17"/>
      <c r="F7" s="10"/>
      <c r="G7" s="10"/>
      <c r="H7" s="10"/>
      <c r="I7" s="10"/>
      <c r="J7" s="10"/>
      <c r="K7" s="10" t="s">
        <v>23</v>
      </c>
      <c r="L7" s="10"/>
      <c r="M7" s="10"/>
      <c r="N7" s="10"/>
      <c r="O7" s="10"/>
      <c r="P7" s="10"/>
      <c r="Q7" s="3">
        <f t="shared" si="0"/>
        <v>1</v>
      </c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28.5" customHeight="1">
      <c r="A8" s="11" t="s">
        <v>19</v>
      </c>
      <c r="B8" s="7" t="s">
        <v>28</v>
      </c>
      <c r="C8" s="32" t="s">
        <v>21</v>
      </c>
      <c r="D8" s="31" t="s">
        <v>29</v>
      </c>
      <c r="E8" s="17"/>
      <c r="F8" s="17"/>
      <c r="G8" s="17"/>
      <c r="H8" s="17"/>
      <c r="I8" s="17"/>
      <c r="J8" s="17" t="s">
        <v>23</v>
      </c>
      <c r="K8" s="17"/>
      <c r="L8" s="17"/>
      <c r="M8" s="17"/>
      <c r="N8" s="17"/>
      <c r="O8" s="17"/>
      <c r="P8" s="17"/>
      <c r="Q8" s="3">
        <f t="shared" si="0"/>
        <v>1</v>
      </c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28.5" customHeight="1">
      <c r="A9" s="11" t="s">
        <v>19</v>
      </c>
      <c r="B9" s="8" t="s">
        <v>30</v>
      </c>
      <c r="C9" s="8" t="s">
        <v>31</v>
      </c>
      <c r="D9" s="8" t="s">
        <v>32</v>
      </c>
      <c r="E9" s="17" t="s">
        <v>23</v>
      </c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3">
        <f t="shared" si="0"/>
        <v>1</v>
      </c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28.5" customHeight="1">
      <c r="A10" s="11" t="s">
        <v>19</v>
      </c>
      <c r="B10" s="7" t="s">
        <v>33</v>
      </c>
      <c r="C10" s="43" t="s">
        <v>34</v>
      </c>
      <c r="D10" s="7" t="s">
        <v>35</v>
      </c>
      <c r="E10" s="17"/>
      <c r="F10" s="10"/>
      <c r="G10" s="10"/>
      <c r="H10" s="10" t="s">
        <v>36</v>
      </c>
      <c r="I10" s="10"/>
      <c r="J10" s="10"/>
      <c r="K10" s="10"/>
      <c r="L10" s="10"/>
      <c r="M10" s="10"/>
      <c r="N10" s="10"/>
      <c r="O10" s="10"/>
      <c r="P10" s="10"/>
      <c r="Q10" s="3">
        <f t="shared" si="0"/>
        <v>1</v>
      </c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28.5" customHeight="1">
      <c r="A11" s="11" t="s">
        <v>19</v>
      </c>
      <c r="B11" s="7" t="s">
        <v>37</v>
      </c>
      <c r="C11" s="7" t="s">
        <v>38</v>
      </c>
      <c r="D11" s="7" t="s">
        <v>39</v>
      </c>
      <c r="E11" s="17"/>
      <c r="F11" s="10"/>
      <c r="G11" s="10"/>
      <c r="H11" s="10"/>
      <c r="I11" s="10" t="s">
        <v>36</v>
      </c>
      <c r="J11" s="10"/>
      <c r="K11" s="10"/>
      <c r="L11" s="10"/>
      <c r="M11" s="10"/>
      <c r="N11" s="10"/>
      <c r="O11" s="10" t="s">
        <v>24</v>
      </c>
      <c r="P11" s="10"/>
      <c r="Q11" s="3">
        <f t="shared" si="0"/>
        <v>2</v>
      </c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28.5" customHeight="1">
      <c r="A12" s="11" t="s">
        <v>19</v>
      </c>
      <c r="B12" s="7" t="s">
        <v>40</v>
      </c>
      <c r="C12" s="7" t="s">
        <v>38</v>
      </c>
      <c r="D12" s="7" t="s">
        <v>35</v>
      </c>
      <c r="E12" s="17"/>
      <c r="F12" s="10"/>
      <c r="G12" s="10"/>
      <c r="H12" s="10"/>
      <c r="I12" s="10" t="s">
        <v>23</v>
      </c>
      <c r="J12" s="10" t="s">
        <v>36</v>
      </c>
      <c r="K12" s="10"/>
      <c r="L12" s="10"/>
      <c r="M12" s="10"/>
      <c r="N12" s="10"/>
      <c r="O12" s="10"/>
      <c r="P12" s="10" t="s">
        <v>24</v>
      </c>
      <c r="Q12" s="3">
        <f t="shared" si="0"/>
        <v>3</v>
      </c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28.5" customHeight="1">
      <c r="A13" s="11" t="s">
        <v>19</v>
      </c>
      <c r="B13" s="7" t="s">
        <v>41</v>
      </c>
      <c r="C13" s="7" t="s">
        <v>38</v>
      </c>
      <c r="D13" s="7" t="s">
        <v>35</v>
      </c>
      <c r="E13" s="17"/>
      <c r="F13" s="10"/>
      <c r="G13" s="10"/>
      <c r="H13" s="10"/>
      <c r="I13" s="10"/>
      <c r="J13" s="10" t="s">
        <v>23</v>
      </c>
      <c r="K13" s="10"/>
      <c r="L13" s="10"/>
      <c r="M13" s="10"/>
      <c r="N13" s="10"/>
      <c r="O13" s="10"/>
      <c r="P13" s="10" t="s">
        <v>24</v>
      </c>
      <c r="Q13" s="3">
        <f t="shared" si="0"/>
        <v>2</v>
      </c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28.5" customHeight="1">
      <c r="A14" s="11" t="s">
        <v>19</v>
      </c>
      <c r="B14" s="7" t="s">
        <v>42</v>
      </c>
      <c r="C14" s="7" t="s">
        <v>43</v>
      </c>
      <c r="D14" s="7" t="s">
        <v>35</v>
      </c>
      <c r="E14" s="17"/>
      <c r="F14" s="10"/>
      <c r="G14" s="10"/>
      <c r="H14" s="10"/>
      <c r="I14" s="10" t="s">
        <v>23</v>
      </c>
      <c r="J14" s="10"/>
      <c r="K14" s="10"/>
      <c r="L14" s="10"/>
      <c r="M14" s="10"/>
      <c r="N14" s="10"/>
      <c r="O14" s="10" t="s">
        <v>23</v>
      </c>
      <c r="P14" s="10"/>
      <c r="Q14" s="3">
        <f t="shared" si="0"/>
        <v>2</v>
      </c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28.5" customHeight="1">
      <c r="A15" s="11" t="s">
        <v>19</v>
      </c>
      <c r="B15" s="7" t="s">
        <v>44</v>
      </c>
      <c r="C15" s="7" t="s">
        <v>38</v>
      </c>
      <c r="D15" s="7" t="s">
        <v>35</v>
      </c>
      <c r="E15" s="17"/>
      <c r="F15" s="10"/>
      <c r="G15" s="10"/>
      <c r="H15" s="10"/>
      <c r="I15" s="10"/>
      <c r="J15" s="10" t="s">
        <v>23</v>
      </c>
      <c r="K15" s="10"/>
      <c r="L15" s="10"/>
      <c r="M15" s="10"/>
      <c r="N15" s="10"/>
      <c r="O15" s="10"/>
      <c r="P15" s="10" t="s">
        <v>24</v>
      </c>
      <c r="Q15" s="3">
        <f t="shared" si="0"/>
        <v>2</v>
      </c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28.5" customHeight="1">
      <c r="A16" s="11" t="s">
        <v>19</v>
      </c>
      <c r="B16" s="7" t="s">
        <v>20</v>
      </c>
      <c r="C16" s="7" t="s">
        <v>45</v>
      </c>
      <c r="D16" s="7" t="s">
        <v>22</v>
      </c>
      <c r="E16" s="17"/>
      <c r="F16" s="17" t="s">
        <v>23</v>
      </c>
      <c r="G16" s="10"/>
      <c r="H16" s="10"/>
      <c r="I16" s="10"/>
      <c r="J16" s="10"/>
      <c r="K16" s="10"/>
      <c r="L16" s="10" t="s">
        <v>23</v>
      </c>
      <c r="M16" s="10"/>
      <c r="N16" s="10"/>
      <c r="O16" s="10"/>
      <c r="P16" s="10"/>
      <c r="Q16" s="3">
        <f t="shared" si="0"/>
        <v>2</v>
      </c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28.5" customHeight="1">
      <c r="A17" s="11" t="s">
        <v>19</v>
      </c>
      <c r="B17" s="7" t="s">
        <v>46</v>
      </c>
      <c r="C17" s="7" t="s">
        <v>45</v>
      </c>
      <c r="D17" s="7" t="s">
        <v>47</v>
      </c>
      <c r="E17" s="17"/>
      <c r="F17" s="10"/>
      <c r="G17" s="17" t="s">
        <v>23</v>
      </c>
      <c r="H17" s="10"/>
      <c r="I17" s="10"/>
      <c r="J17" s="10"/>
      <c r="K17" s="10"/>
      <c r="L17" s="10"/>
      <c r="M17" s="10"/>
      <c r="N17" s="10"/>
      <c r="O17" s="10"/>
      <c r="P17" s="10"/>
      <c r="Q17" s="3">
        <f t="shared" si="0"/>
        <v>1</v>
      </c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28.5" customHeight="1">
      <c r="A18" s="11" t="s">
        <v>19</v>
      </c>
      <c r="B18" s="7" t="s">
        <v>48</v>
      </c>
      <c r="C18" s="7" t="s">
        <v>38</v>
      </c>
      <c r="D18" s="7" t="s">
        <v>35</v>
      </c>
      <c r="E18" s="17"/>
      <c r="F18" s="17" t="s">
        <v>23</v>
      </c>
      <c r="G18" s="10"/>
      <c r="H18" s="10"/>
      <c r="I18" s="10"/>
      <c r="J18" s="10"/>
      <c r="K18" s="10"/>
      <c r="L18" s="10" t="s">
        <v>23</v>
      </c>
      <c r="M18" s="10"/>
      <c r="N18" s="36"/>
      <c r="O18" s="10"/>
      <c r="P18" s="10"/>
      <c r="Q18" s="3">
        <f t="shared" si="0"/>
        <v>2</v>
      </c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28.5" customHeight="1">
      <c r="A19" s="11" t="s">
        <v>19</v>
      </c>
      <c r="B19" s="7" t="s">
        <v>49</v>
      </c>
      <c r="C19" s="7" t="s">
        <v>50</v>
      </c>
      <c r="D19" s="7" t="s">
        <v>35</v>
      </c>
      <c r="E19" s="17"/>
      <c r="F19" s="10"/>
      <c r="G19" s="10"/>
      <c r="H19" s="10" t="s">
        <v>23</v>
      </c>
      <c r="I19" s="10"/>
      <c r="J19" s="10"/>
      <c r="K19" s="10"/>
      <c r="L19" s="10"/>
      <c r="M19" s="45"/>
      <c r="N19" s="17" t="s">
        <v>23</v>
      </c>
      <c r="O19" s="17"/>
      <c r="P19" s="10"/>
      <c r="Q19" s="3">
        <f t="shared" si="0"/>
        <v>2</v>
      </c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28.5" customHeight="1">
      <c r="A20" s="11" t="s">
        <v>19</v>
      </c>
      <c r="B20" s="7" t="s">
        <v>51</v>
      </c>
      <c r="C20" s="7" t="s">
        <v>50</v>
      </c>
      <c r="D20" s="7" t="s">
        <v>35</v>
      </c>
      <c r="E20" s="35"/>
      <c r="F20" s="36"/>
      <c r="G20" s="36"/>
      <c r="H20" s="36" t="s">
        <v>23</v>
      </c>
      <c r="I20" s="36"/>
      <c r="J20" s="36"/>
      <c r="K20" s="36"/>
      <c r="L20" s="36"/>
      <c r="M20" s="46"/>
      <c r="N20" s="35" t="s">
        <v>23</v>
      </c>
      <c r="O20" s="35"/>
      <c r="P20" s="36"/>
      <c r="Q20" s="3">
        <f t="shared" si="0"/>
        <v>2</v>
      </c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28.5" customHeight="1">
      <c r="A21" s="40" t="s">
        <v>19</v>
      </c>
      <c r="B21" s="31" t="s">
        <v>52</v>
      </c>
      <c r="C21" s="7" t="s">
        <v>45</v>
      </c>
      <c r="D21" s="7" t="s">
        <v>35</v>
      </c>
      <c r="E21" s="41"/>
      <c r="F21" s="25"/>
      <c r="G21" s="25"/>
      <c r="H21" s="25" t="s">
        <v>23</v>
      </c>
      <c r="I21" s="25"/>
      <c r="J21" s="25"/>
      <c r="K21" s="25"/>
      <c r="L21" s="25"/>
      <c r="M21" s="47"/>
      <c r="N21" s="41" t="s">
        <v>23</v>
      </c>
      <c r="O21" s="41"/>
      <c r="P21" s="25"/>
      <c r="Q21" s="42">
        <f t="shared" ref="Q21" si="1">COUNTA(E21:P21 )</f>
        <v>2</v>
      </c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28.5" customHeight="1">
      <c r="A22" s="50" t="s">
        <v>19</v>
      </c>
      <c r="B22" s="31" t="s">
        <v>53</v>
      </c>
      <c r="C22" s="7" t="s">
        <v>54</v>
      </c>
      <c r="D22" s="7" t="s">
        <v>55</v>
      </c>
      <c r="E22" s="41"/>
      <c r="F22" s="17" t="s">
        <v>23</v>
      </c>
      <c r="G22" s="25" t="s">
        <v>36</v>
      </c>
      <c r="H22" s="25"/>
      <c r="I22" s="25"/>
      <c r="J22" s="25"/>
      <c r="K22" s="25"/>
      <c r="L22" s="25"/>
      <c r="M22" s="25"/>
      <c r="N22" s="25"/>
      <c r="O22" s="25"/>
      <c r="P22" s="25"/>
      <c r="Q22" s="42">
        <f>COUNTA(E22:P22 )</f>
        <v>2</v>
      </c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28.5" customHeight="1">
      <c r="A23" s="38" t="s">
        <v>56</v>
      </c>
      <c r="B23" s="27" t="s">
        <v>57</v>
      </c>
      <c r="C23" s="27" t="s">
        <v>38</v>
      </c>
      <c r="D23" s="27" t="s">
        <v>35</v>
      </c>
      <c r="E23" s="39"/>
      <c r="F23" s="17" t="s">
        <v>23</v>
      </c>
      <c r="G23" s="39"/>
      <c r="H23" s="39"/>
      <c r="I23" s="39"/>
      <c r="J23" s="39"/>
      <c r="K23" s="39"/>
      <c r="L23" s="39" t="s">
        <v>23</v>
      </c>
      <c r="M23" s="39"/>
      <c r="N23" s="39"/>
      <c r="O23" s="39"/>
      <c r="P23" s="39"/>
      <c r="Q23" s="9">
        <f t="shared" si="0"/>
        <v>2</v>
      </c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26.25" customHeight="1">
      <c r="A24" s="33" t="s">
        <v>56</v>
      </c>
      <c r="B24" s="6" t="s">
        <v>42</v>
      </c>
      <c r="C24" s="6" t="s">
        <v>43</v>
      </c>
      <c r="D24" s="6" t="s">
        <v>35</v>
      </c>
      <c r="E24" s="34"/>
      <c r="F24" s="17" t="s">
        <v>23</v>
      </c>
      <c r="G24" s="34"/>
      <c r="H24" s="34"/>
      <c r="I24" s="30"/>
      <c r="J24" s="34"/>
      <c r="K24" s="34"/>
      <c r="L24" s="34" t="s">
        <v>23</v>
      </c>
      <c r="M24" s="34"/>
      <c r="N24" s="34"/>
      <c r="O24" s="30"/>
      <c r="P24" s="34"/>
      <c r="Q24" s="3">
        <f t="shared" si="0"/>
        <v>2</v>
      </c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28.5" customHeight="1">
      <c r="A25" s="33" t="s">
        <v>58</v>
      </c>
      <c r="B25" s="6" t="s">
        <v>57</v>
      </c>
      <c r="C25" s="6" t="s">
        <v>38</v>
      </c>
      <c r="D25" s="6" t="s">
        <v>35</v>
      </c>
      <c r="E25" s="34"/>
      <c r="F25" s="17" t="s">
        <v>23</v>
      </c>
      <c r="G25" s="34"/>
      <c r="H25" s="34"/>
      <c r="I25" s="34"/>
      <c r="J25" s="34"/>
      <c r="K25" s="34"/>
      <c r="L25" s="34" t="s">
        <v>23</v>
      </c>
      <c r="M25" s="34"/>
      <c r="N25" s="34"/>
      <c r="O25" s="34"/>
      <c r="P25" s="34"/>
      <c r="Q25" s="3">
        <f t="shared" si="0"/>
        <v>2</v>
      </c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28.5" customHeight="1">
      <c r="A26" s="33" t="s">
        <v>58</v>
      </c>
      <c r="B26" s="6" t="s">
        <v>42</v>
      </c>
      <c r="C26" s="6" t="s">
        <v>43</v>
      </c>
      <c r="D26" s="6" t="s">
        <v>35</v>
      </c>
      <c r="E26" s="34"/>
      <c r="F26" s="17" t="s">
        <v>23</v>
      </c>
      <c r="G26" s="34"/>
      <c r="H26" s="34"/>
      <c r="I26" s="30"/>
      <c r="J26" s="34"/>
      <c r="K26" s="34"/>
      <c r="L26" s="34" t="s">
        <v>23</v>
      </c>
      <c r="M26" s="34"/>
      <c r="N26" s="34"/>
      <c r="O26" s="30"/>
      <c r="P26" s="34"/>
      <c r="Q26" s="3">
        <f t="shared" si="0"/>
        <v>2</v>
      </c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28.5" customHeight="1">
      <c r="A27" s="33" t="s">
        <v>58</v>
      </c>
      <c r="B27" s="7" t="s">
        <v>33</v>
      </c>
      <c r="C27" s="7" t="s">
        <v>59</v>
      </c>
      <c r="D27" s="7" t="s">
        <v>35</v>
      </c>
      <c r="E27" s="34"/>
      <c r="F27" s="34"/>
      <c r="G27" s="34"/>
      <c r="H27" s="34"/>
      <c r="I27" s="34" t="s">
        <v>23</v>
      </c>
      <c r="J27" s="30"/>
      <c r="K27" s="34"/>
      <c r="L27" s="34"/>
      <c r="M27" s="34"/>
      <c r="N27" s="34"/>
      <c r="O27" s="34"/>
      <c r="P27" s="34"/>
      <c r="Q27" s="3">
        <f t="shared" si="0"/>
        <v>1</v>
      </c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28.5" customHeight="1">
      <c r="A28" s="11" t="s">
        <v>60</v>
      </c>
      <c r="B28" s="16" t="s">
        <v>57</v>
      </c>
      <c r="C28" s="16" t="s">
        <v>38</v>
      </c>
      <c r="D28" s="5" t="s">
        <v>35</v>
      </c>
      <c r="E28" s="10"/>
      <c r="F28" s="10"/>
      <c r="G28" s="10"/>
      <c r="H28" s="10"/>
      <c r="I28" s="10" t="s">
        <v>23</v>
      </c>
      <c r="J28" s="10"/>
      <c r="K28" s="10"/>
      <c r="L28" s="10"/>
      <c r="M28" s="10"/>
      <c r="N28" s="10"/>
      <c r="O28" s="10" t="s">
        <v>24</v>
      </c>
      <c r="P28" s="10"/>
      <c r="Q28" s="3">
        <f t="shared" si="0"/>
        <v>2</v>
      </c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28.5" customHeight="1">
      <c r="A29" s="11" t="s">
        <v>60</v>
      </c>
      <c r="B29" s="3" t="s">
        <v>42</v>
      </c>
      <c r="C29" s="3" t="s">
        <v>43</v>
      </c>
      <c r="D29" s="3" t="s">
        <v>35</v>
      </c>
      <c r="E29" s="10"/>
      <c r="F29" s="10"/>
      <c r="G29" s="10"/>
      <c r="H29" s="10"/>
      <c r="I29" s="10" t="s">
        <v>23</v>
      </c>
      <c r="J29" s="10"/>
      <c r="K29" s="10"/>
      <c r="L29" s="10"/>
      <c r="M29" s="10"/>
      <c r="N29" s="10"/>
      <c r="O29" s="10" t="s">
        <v>23</v>
      </c>
      <c r="P29" s="10"/>
      <c r="Q29" s="3">
        <f t="shared" si="0"/>
        <v>2</v>
      </c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28.5" customHeight="1">
      <c r="A30" s="15" t="s">
        <v>61</v>
      </c>
      <c r="B30" s="3" t="s">
        <v>62</v>
      </c>
      <c r="C30" s="16" t="s">
        <v>38</v>
      </c>
      <c r="D30" s="3" t="s">
        <v>35</v>
      </c>
      <c r="E30" s="10" t="s">
        <v>23</v>
      </c>
      <c r="F30" s="10"/>
      <c r="G30" s="10"/>
      <c r="H30" s="10"/>
      <c r="I30" s="10"/>
      <c r="J30" s="10"/>
      <c r="K30" s="10" t="s">
        <v>23</v>
      </c>
      <c r="L30" s="10"/>
      <c r="M30" s="10"/>
      <c r="N30" s="10"/>
      <c r="O30" s="10"/>
      <c r="P30" s="10"/>
      <c r="Q30" s="3">
        <f t="shared" si="0"/>
        <v>2</v>
      </c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28.5" customHeight="1">
      <c r="A31" s="15" t="s">
        <v>61</v>
      </c>
      <c r="B31" s="3" t="s">
        <v>49</v>
      </c>
      <c r="C31" s="16" t="s">
        <v>38</v>
      </c>
      <c r="D31" s="3" t="s">
        <v>35</v>
      </c>
      <c r="E31" s="10" t="s">
        <v>23</v>
      </c>
      <c r="F31" s="10"/>
      <c r="G31" s="10"/>
      <c r="H31" s="10"/>
      <c r="I31" s="10"/>
      <c r="J31" s="10"/>
      <c r="K31" s="10" t="s">
        <v>23</v>
      </c>
      <c r="L31" s="10"/>
      <c r="M31" s="10"/>
      <c r="N31" s="10"/>
      <c r="O31" s="10"/>
      <c r="P31" s="10"/>
      <c r="Q31" s="3">
        <f t="shared" si="0"/>
        <v>2</v>
      </c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28.5" customHeight="1">
      <c r="A32" s="15" t="s">
        <v>63</v>
      </c>
      <c r="B32" s="44" t="s">
        <v>37</v>
      </c>
      <c r="C32" s="3" t="s">
        <v>64</v>
      </c>
      <c r="D32" s="3" t="s">
        <v>65</v>
      </c>
      <c r="E32" s="10"/>
      <c r="F32" s="10"/>
      <c r="G32" s="10"/>
      <c r="H32" s="10" t="s">
        <v>23</v>
      </c>
      <c r="I32" s="10"/>
      <c r="J32" s="10"/>
      <c r="K32" s="10"/>
      <c r="L32" s="10"/>
      <c r="M32" s="10"/>
      <c r="N32" s="10"/>
      <c r="O32" s="10"/>
      <c r="P32" s="10"/>
      <c r="Q32" s="3">
        <f t="shared" si="0"/>
        <v>1</v>
      </c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28.5" customHeight="1">
      <c r="A33" s="48" t="s">
        <v>63</v>
      </c>
      <c r="B33" s="3" t="s">
        <v>66</v>
      </c>
      <c r="C33" s="3" t="s">
        <v>64</v>
      </c>
      <c r="D33" s="3" t="s">
        <v>67</v>
      </c>
      <c r="E33" s="10"/>
      <c r="F33" s="10"/>
      <c r="G33" s="10"/>
      <c r="H33" s="10"/>
      <c r="I33" s="10"/>
      <c r="J33" s="10"/>
      <c r="K33" s="10"/>
      <c r="L33" s="10"/>
      <c r="M33" s="10" t="s">
        <v>23</v>
      </c>
      <c r="N33" s="10"/>
      <c r="O33" s="10"/>
      <c r="P33" s="10"/>
      <c r="Q33" s="3">
        <f t="shared" si="0"/>
        <v>1</v>
      </c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28.5" customHeight="1">
      <c r="A34" s="49" t="s">
        <v>63</v>
      </c>
      <c r="B34" s="3" t="s">
        <v>68</v>
      </c>
      <c r="C34" s="3" t="s">
        <v>64</v>
      </c>
      <c r="D34" s="3" t="s">
        <v>69</v>
      </c>
      <c r="E34" s="10"/>
      <c r="F34" s="10"/>
      <c r="G34" s="10"/>
      <c r="H34" s="10"/>
      <c r="I34" s="10"/>
      <c r="J34" s="10"/>
      <c r="K34" s="10"/>
      <c r="L34" s="10"/>
      <c r="M34" s="10" t="s">
        <v>36</v>
      </c>
      <c r="N34" s="10" t="s">
        <v>23</v>
      </c>
      <c r="O34" s="10"/>
      <c r="P34" s="10"/>
      <c r="Q34" s="3">
        <f t="shared" si="0"/>
        <v>2</v>
      </c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28.5" customHeight="1">
      <c r="A35" s="49" t="s">
        <v>63</v>
      </c>
      <c r="B35" s="3" t="s">
        <v>70</v>
      </c>
      <c r="C35" s="3" t="s">
        <v>71</v>
      </c>
      <c r="D35" s="3" t="s">
        <v>72</v>
      </c>
      <c r="E35" s="10"/>
      <c r="F35" s="10"/>
      <c r="G35" s="10"/>
      <c r="H35" s="10"/>
      <c r="I35" s="10"/>
      <c r="J35" s="10"/>
      <c r="K35" s="10"/>
      <c r="L35" s="10"/>
      <c r="M35" s="10"/>
      <c r="N35" s="10" t="s">
        <v>23</v>
      </c>
      <c r="O35" s="10"/>
      <c r="P35" s="10" t="s">
        <v>36</v>
      </c>
      <c r="Q35" s="3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28.5" customHeight="1">
      <c r="A36" s="24" t="s">
        <v>63</v>
      </c>
      <c r="B36" s="3" t="s">
        <v>73</v>
      </c>
      <c r="C36" s="3" t="s">
        <v>71</v>
      </c>
      <c r="D36" s="3" t="s">
        <v>69</v>
      </c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 t="s">
        <v>23</v>
      </c>
      <c r="P36" s="10"/>
      <c r="Q36" s="3">
        <f t="shared" si="0"/>
        <v>1</v>
      </c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39.75" customHeight="1">
      <c r="A37" s="28" t="s">
        <v>74</v>
      </c>
      <c r="B37" s="7" t="s">
        <v>75</v>
      </c>
      <c r="C37" s="7" t="s">
        <v>76</v>
      </c>
      <c r="D37" s="29" t="s">
        <v>77</v>
      </c>
      <c r="E37" s="10"/>
      <c r="F37" s="10" t="s">
        <v>23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3">
        <f t="shared" si="0"/>
        <v>1</v>
      </c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28.5" customHeight="1">
      <c r="A38" s="22" t="s">
        <v>78</v>
      </c>
      <c r="B38" s="7" t="s">
        <v>48</v>
      </c>
      <c r="C38" s="7" t="s">
        <v>78</v>
      </c>
      <c r="D38" s="7" t="s">
        <v>35</v>
      </c>
      <c r="E38" s="10"/>
      <c r="F38" s="10"/>
      <c r="G38" s="10" t="s">
        <v>36</v>
      </c>
      <c r="H38" s="10"/>
      <c r="I38" s="10"/>
      <c r="J38" s="10"/>
      <c r="K38" s="10"/>
      <c r="L38" s="10"/>
      <c r="M38" s="10" t="s">
        <v>36</v>
      </c>
      <c r="N38" s="10"/>
      <c r="O38" s="10"/>
      <c r="P38" s="10"/>
      <c r="Q38" s="3">
        <f t="shared" si="0"/>
        <v>2</v>
      </c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28.5" customHeight="1">
      <c r="A39" s="22" t="s">
        <v>78</v>
      </c>
      <c r="B39" s="7" t="s">
        <v>79</v>
      </c>
      <c r="C39" s="7" t="s">
        <v>80</v>
      </c>
      <c r="D39" s="7" t="s">
        <v>81</v>
      </c>
      <c r="E39" s="10"/>
      <c r="F39" s="10"/>
      <c r="G39" s="10" t="s">
        <v>36</v>
      </c>
      <c r="H39" s="10"/>
      <c r="I39" s="10"/>
      <c r="J39" s="10"/>
      <c r="K39" s="10"/>
      <c r="L39" s="10"/>
      <c r="M39" s="10"/>
      <c r="N39" s="10"/>
      <c r="O39" s="10"/>
      <c r="P39" s="10"/>
      <c r="Q39" s="3">
        <f t="shared" si="0"/>
        <v>1</v>
      </c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38.25" customHeight="1">
      <c r="A40" s="22" t="s">
        <v>78</v>
      </c>
      <c r="B40" s="7" t="s">
        <v>82</v>
      </c>
      <c r="C40" s="7" t="s">
        <v>80</v>
      </c>
      <c r="D40" s="7" t="s">
        <v>81</v>
      </c>
      <c r="E40" s="25"/>
      <c r="F40" s="10"/>
      <c r="G40" s="10" t="s">
        <v>36</v>
      </c>
      <c r="H40" s="10"/>
      <c r="I40" s="10"/>
      <c r="J40" s="10"/>
      <c r="K40" s="10"/>
      <c r="L40" s="10"/>
      <c r="M40" s="10"/>
      <c r="N40" s="10"/>
      <c r="O40" s="10"/>
      <c r="P40" s="10"/>
      <c r="Q40" s="3">
        <f t="shared" si="0"/>
        <v>1</v>
      </c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28.5" customHeight="1">
      <c r="A41" s="11" t="s">
        <v>83</v>
      </c>
      <c r="B41" s="26" t="s">
        <v>57</v>
      </c>
      <c r="C41" s="26" t="s">
        <v>84</v>
      </c>
      <c r="D41" s="27" t="s">
        <v>35</v>
      </c>
      <c r="E41" s="19"/>
      <c r="F41" s="10"/>
      <c r="G41" s="10"/>
      <c r="H41" s="10"/>
      <c r="I41" s="10"/>
      <c r="J41" s="10" t="s">
        <v>23</v>
      </c>
      <c r="K41" s="10"/>
      <c r="L41" s="10"/>
      <c r="M41" s="10"/>
      <c r="N41" s="10"/>
      <c r="O41" s="10"/>
      <c r="P41" s="10"/>
      <c r="Q41" s="3">
        <f t="shared" si="0"/>
        <v>1</v>
      </c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28.5" customHeight="1">
      <c r="A42" s="33" t="s">
        <v>85</v>
      </c>
      <c r="B42" s="7" t="s">
        <v>86</v>
      </c>
      <c r="C42" s="7" t="s">
        <v>87</v>
      </c>
      <c r="D42" s="7" t="s">
        <v>88</v>
      </c>
      <c r="E42" s="34"/>
      <c r="F42" s="34"/>
      <c r="G42" s="34"/>
      <c r="H42" s="34"/>
      <c r="I42" s="34"/>
      <c r="J42" s="34"/>
      <c r="K42" s="34" t="s">
        <v>23</v>
      </c>
      <c r="L42" s="34"/>
      <c r="M42" s="34"/>
      <c r="N42" s="34"/>
      <c r="O42" s="34"/>
      <c r="P42" s="34"/>
      <c r="Q42" s="3">
        <f t="shared" si="0"/>
        <v>1</v>
      </c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28.5" customHeight="1">
      <c r="A43" s="33" t="s">
        <v>85</v>
      </c>
      <c r="B43" s="7" t="s">
        <v>89</v>
      </c>
      <c r="C43" s="7" t="s">
        <v>87</v>
      </c>
      <c r="D43" s="7" t="s">
        <v>88</v>
      </c>
      <c r="E43" s="34"/>
      <c r="F43" s="34"/>
      <c r="G43" s="34"/>
      <c r="H43" s="34"/>
      <c r="I43" s="34"/>
      <c r="J43" s="34"/>
      <c r="K43" s="34" t="s">
        <v>23</v>
      </c>
      <c r="L43" s="34"/>
      <c r="M43" s="34"/>
      <c r="N43" s="34"/>
      <c r="O43" s="34"/>
      <c r="P43" s="34"/>
      <c r="Q43" s="3">
        <f t="shared" si="0"/>
        <v>1</v>
      </c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28.5" customHeight="1">
      <c r="A44" s="33" t="s">
        <v>85</v>
      </c>
      <c r="B44" s="31" t="s">
        <v>90</v>
      </c>
      <c r="C44" s="7" t="s">
        <v>91</v>
      </c>
      <c r="D44" s="7" t="s">
        <v>92</v>
      </c>
      <c r="E44" s="34"/>
      <c r="F44" s="34"/>
      <c r="G44" s="34"/>
      <c r="H44" s="34"/>
      <c r="I44" s="34"/>
      <c r="J44" s="34"/>
      <c r="K44" s="34"/>
      <c r="L44" s="34"/>
      <c r="M44" s="34"/>
      <c r="N44" s="34" t="s">
        <v>23</v>
      </c>
      <c r="O44" s="34"/>
      <c r="P44" s="34"/>
      <c r="Q44" s="3">
        <f t="shared" si="0"/>
        <v>1</v>
      </c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28.5" customHeight="1">
      <c r="A45" s="23" t="s">
        <v>93</v>
      </c>
      <c r="B45" s="7" t="s">
        <v>94</v>
      </c>
      <c r="C45" s="7" t="s">
        <v>93</v>
      </c>
      <c r="D45" s="7" t="s">
        <v>35</v>
      </c>
      <c r="E45" s="17"/>
      <c r="F45" s="10"/>
      <c r="G45" s="10"/>
      <c r="H45" s="10" t="s">
        <v>23</v>
      </c>
      <c r="I45" s="10"/>
      <c r="J45" s="10"/>
      <c r="K45" s="10"/>
      <c r="L45" s="10"/>
      <c r="M45" s="10"/>
      <c r="N45" s="10"/>
      <c r="O45" s="10"/>
      <c r="P45" s="10"/>
      <c r="Q45" s="3">
        <f t="shared" si="0"/>
        <v>1</v>
      </c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28.5" customHeight="1">
      <c r="A46" s="23" t="s">
        <v>93</v>
      </c>
      <c r="B46" s="9" t="s">
        <v>95</v>
      </c>
      <c r="C46" s="7" t="s">
        <v>93</v>
      </c>
      <c r="D46" s="9" t="s">
        <v>35</v>
      </c>
      <c r="E46" s="17"/>
      <c r="F46" s="10"/>
      <c r="G46" s="10"/>
      <c r="H46" s="10"/>
      <c r="I46" s="10"/>
      <c r="J46" s="10"/>
      <c r="K46" s="10" t="s">
        <v>23</v>
      </c>
      <c r="L46" s="10"/>
      <c r="M46" s="10"/>
      <c r="N46" s="10"/>
      <c r="O46" s="10"/>
      <c r="P46" s="10"/>
      <c r="Q46" s="3">
        <f t="shared" si="0"/>
        <v>1</v>
      </c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28.5" customHeight="1">
      <c r="A47" s="23" t="s">
        <v>93</v>
      </c>
      <c r="B47" s="18" t="s">
        <v>96</v>
      </c>
      <c r="C47" s="7" t="s">
        <v>93</v>
      </c>
      <c r="D47" s="18" t="s">
        <v>97</v>
      </c>
      <c r="E47" s="10"/>
      <c r="F47" s="10"/>
      <c r="G47" s="10"/>
      <c r="H47" s="10"/>
      <c r="I47" s="10"/>
      <c r="J47" s="10"/>
      <c r="K47" s="10"/>
      <c r="L47" s="10"/>
      <c r="M47" s="10" t="s">
        <v>23</v>
      </c>
      <c r="N47" s="10"/>
      <c r="O47" s="10"/>
      <c r="P47" s="10"/>
      <c r="Q47" s="3">
        <f t="shared" si="0"/>
        <v>1</v>
      </c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28.5" customHeight="1" thickBot="1">
      <c r="A48" s="80" t="s">
        <v>98</v>
      </c>
      <c r="B48" s="90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28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28.5" customHeight="1">
      <c r="A50" s="4"/>
      <c r="B50" s="4"/>
      <c r="C50" s="4"/>
      <c r="D50" s="4"/>
      <c r="E50" s="1"/>
      <c r="F50" s="4"/>
      <c r="G50" s="2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28.5" customHeight="1">
      <c r="A51" s="4"/>
      <c r="D51" s="4"/>
      <c r="E51" s="1"/>
      <c r="F51" s="1"/>
      <c r="G51" s="2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28.5" customHeight="1">
      <c r="A52" s="4"/>
      <c r="D52" s="4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28.5" customHeight="1">
      <c r="A53" s="4"/>
      <c r="D53" s="4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28.5" customHeight="1">
      <c r="A54" s="4"/>
      <c r="D54" s="4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28.5" customHeight="1">
      <c r="A55" s="4"/>
      <c r="D55" s="4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28.5" customHeight="1">
      <c r="A56" s="4"/>
      <c r="B56" s="4"/>
      <c r="C56" s="4"/>
      <c r="D56" s="4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28.5" customHeight="1">
      <c r="A57" s="4"/>
      <c r="B57" s="4"/>
      <c r="C57" s="4"/>
      <c r="D57" s="4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28.5" customHeight="1">
      <c r="A58" s="4"/>
      <c r="B58" s="4"/>
      <c r="C58" s="4"/>
      <c r="D58" s="4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28.5" customHeight="1">
      <c r="A59" s="4"/>
      <c r="B59" s="4"/>
      <c r="C59" s="4"/>
      <c r="D59" s="4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28.5" customHeight="1">
      <c r="A60" s="4"/>
      <c r="B60" s="4"/>
      <c r="C60" s="4"/>
      <c r="D60" s="4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28.5" customHeight="1">
      <c r="A61" s="4"/>
      <c r="B61" s="4"/>
      <c r="C61" s="4"/>
      <c r="D61" s="4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28.5" customHeight="1">
      <c r="A62" s="4"/>
      <c r="B62" s="4"/>
      <c r="C62" s="4"/>
      <c r="D62" s="4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28.5" customHeight="1">
      <c r="A63" s="4"/>
      <c r="B63" s="4"/>
      <c r="C63" s="4"/>
      <c r="D63" s="4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28.5" customHeight="1">
      <c r="A64" s="4"/>
      <c r="B64" s="4"/>
      <c r="C64" s="4"/>
      <c r="D64" s="4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28.5" customHeight="1">
      <c r="A65" s="4"/>
      <c r="B65" s="4"/>
      <c r="C65" s="4"/>
      <c r="D65" s="4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28.5" customHeight="1">
      <c r="A66" s="4"/>
      <c r="B66" s="4"/>
      <c r="C66" s="4"/>
      <c r="D66" s="4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28.5" customHeight="1">
      <c r="A67" s="4"/>
      <c r="B67" s="4"/>
      <c r="C67" s="4"/>
      <c r="D67" s="4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28.5" customHeight="1">
      <c r="A68" s="4"/>
      <c r="B68" s="4"/>
      <c r="C68" s="4"/>
      <c r="D68" s="4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28.5" customHeight="1">
      <c r="A69" s="4"/>
      <c r="B69" s="4"/>
      <c r="C69" s="4"/>
      <c r="D69" s="4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28.5" customHeight="1">
      <c r="A70" s="4"/>
      <c r="B70" s="4"/>
      <c r="C70" s="4"/>
      <c r="D70" s="4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28.5" customHeight="1">
      <c r="A71" s="4"/>
      <c r="B71" s="4"/>
      <c r="C71" s="4"/>
      <c r="D71" s="4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28.5" customHeight="1">
      <c r="A72" s="4"/>
      <c r="B72" s="4"/>
      <c r="C72" s="4"/>
      <c r="D72" s="4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28.5" customHeight="1">
      <c r="A73" s="4"/>
      <c r="B73" s="4"/>
      <c r="C73" s="4"/>
      <c r="D73" s="4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28.5" customHeight="1">
      <c r="A74" s="4"/>
      <c r="B74" s="4"/>
      <c r="C74" s="4"/>
      <c r="D74" s="4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28.5" customHeight="1">
      <c r="A75" s="4"/>
      <c r="B75" s="4"/>
      <c r="C75" s="4"/>
      <c r="D75" s="4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28.5" customHeight="1">
      <c r="A76" s="4"/>
      <c r="B76" s="4"/>
      <c r="C76" s="4"/>
      <c r="D76" s="4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28.5" customHeight="1">
      <c r="A77" s="4"/>
      <c r="B77" s="4"/>
      <c r="C77" s="4"/>
      <c r="D77" s="4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28.5" customHeight="1">
      <c r="A78" s="4"/>
      <c r="B78" s="4"/>
      <c r="C78" s="4"/>
      <c r="D78" s="4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28.5" customHeight="1">
      <c r="A79" s="4"/>
      <c r="B79" s="4"/>
      <c r="C79" s="4"/>
      <c r="D79" s="4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28.5" customHeight="1">
      <c r="A80" s="4"/>
      <c r="B80" s="4"/>
      <c r="C80" s="4"/>
      <c r="D80" s="4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28.5" customHeight="1">
      <c r="A81" s="4"/>
      <c r="B81" s="4"/>
      <c r="C81" s="4"/>
      <c r="D81" s="4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28.5" customHeight="1">
      <c r="A82" s="4"/>
      <c r="B82" s="4"/>
      <c r="C82" s="4"/>
      <c r="D82" s="4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28.5" customHeight="1">
      <c r="A83" s="4"/>
      <c r="B83" s="4"/>
      <c r="C83" s="4"/>
      <c r="D83" s="4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28.5" customHeight="1">
      <c r="A84" s="4"/>
      <c r="B84" s="4"/>
      <c r="C84" s="4"/>
      <c r="D84" s="4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28.5" customHeight="1">
      <c r="A85" s="4"/>
      <c r="B85" s="4"/>
      <c r="C85" s="4"/>
      <c r="D85" s="4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28.5" customHeight="1">
      <c r="A86" s="4"/>
      <c r="B86" s="4"/>
      <c r="C86" s="4"/>
      <c r="D86" s="4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28.5" customHeight="1">
      <c r="A87" s="4"/>
      <c r="B87" s="4"/>
      <c r="C87" s="4"/>
      <c r="D87" s="4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28.5" customHeight="1">
      <c r="A88" s="4"/>
      <c r="B88" s="4"/>
      <c r="C88" s="4"/>
      <c r="D88" s="4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28.5" customHeight="1">
      <c r="A89" s="4"/>
      <c r="B89" s="4"/>
      <c r="C89" s="4"/>
      <c r="D89" s="4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28.5" customHeight="1">
      <c r="A90" s="4"/>
      <c r="B90" s="4"/>
      <c r="C90" s="4"/>
      <c r="D90" s="4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28.5" customHeight="1">
      <c r="A91" s="4"/>
      <c r="B91" s="4"/>
      <c r="C91" s="4"/>
      <c r="D91" s="4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28.5" customHeight="1">
      <c r="A92" s="4"/>
      <c r="B92" s="4"/>
      <c r="C92" s="4"/>
      <c r="D92" s="4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28.5" customHeight="1">
      <c r="A93" s="4"/>
      <c r="B93" s="4"/>
      <c r="C93" s="4"/>
      <c r="D93" s="4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28.5" customHeight="1">
      <c r="A94" s="4"/>
      <c r="B94" s="4"/>
      <c r="C94" s="4"/>
      <c r="D94" s="4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28.5" customHeight="1">
      <c r="A95" s="4"/>
      <c r="B95" s="4"/>
      <c r="C95" s="4"/>
      <c r="D95" s="4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28.5" customHeight="1">
      <c r="A96" s="4"/>
      <c r="B96" s="4"/>
      <c r="C96" s="4"/>
      <c r="D96" s="4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28.5" customHeight="1">
      <c r="A97" s="4"/>
      <c r="B97" s="4"/>
      <c r="C97" s="4"/>
      <c r="D97" s="4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28.5" customHeight="1">
      <c r="A98" s="4"/>
      <c r="B98" s="4"/>
      <c r="C98" s="4"/>
      <c r="D98" s="4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28.5" customHeight="1">
      <c r="A99" s="4"/>
      <c r="B99" s="4"/>
      <c r="C99" s="4"/>
      <c r="D99" s="4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28.5" customHeight="1">
      <c r="A100" s="4"/>
      <c r="B100" s="4"/>
      <c r="C100" s="4"/>
      <c r="D100" s="4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28.5" customHeight="1">
      <c r="A101" s="4"/>
      <c r="B101" s="4"/>
      <c r="C101" s="4"/>
      <c r="D101" s="4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28.5" customHeight="1">
      <c r="A102" s="4"/>
      <c r="B102" s="4"/>
      <c r="C102" s="4"/>
      <c r="D102" s="4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28.5" customHeight="1">
      <c r="A103" s="4"/>
      <c r="B103" s="4"/>
      <c r="C103" s="4"/>
      <c r="D103" s="4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28.5" customHeight="1">
      <c r="A104" s="4"/>
      <c r="B104" s="4"/>
      <c r="C104" s="4"/>
      <c r="D104" s="4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28.5" customHeight="1">
      <c r="A105" s="4"/>
      <c r="B105" s="4"/>
      <c r="C105" s="4"/>
      <c r="D105" s="4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28.5" customHeight="1">
      <c r="A106" s="4"/>
      <c r="B106" s="4"/>
      <c r="C106" s="4"/>
      <c r="D106" s="4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28.5" customHeight="1">
      <c r="A107" s="4"/>
      <c r="B107" s="4"/>
      <c r="C107" s="4"/>
      <c r="D107" s="4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28.5" customHeight="1">
      <c r="A108" s="4"/>
      <c r="B108" s="4"/>
      <c r="C108" s="4"/>
      <c r="D108" s="4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28.5" customHeight="1">
      <c r="A109" s="4"/>
      <c r="B109" s="4"/>
      <c r="C109" s="4"/>
      <c r="D109" s="4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28.5" customHeight="1">
      <c r="A110" s="4"/>
      <c r="B110" s="4"/>
      <c r="C110" s="4"/>
      <c r="D110" s="4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28.5" customHeight="1">
      <c r="A111" s="4"/>
      <c r="B111" s="4"/>
      <c r="C111" s="4"/>
      <c r="D111" s="4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28.5" customHeight="1">
      <c r="A112" s="4"/>
      <c r="B112" s="4"/>
      <c r="C112" s="4"/>
      <c r="D112" s="4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28.5" customHeight="1">
      <c r="A113" s="4"/>
      <c r="B113" s="4"/>
      <c r="C113" s="4"/>
      <c r="D113" s="4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28.5" customHeight="1">
      <c r="A114" s="4"/>
      <c r="B114" s="4"/>
      <c r="C114" s="4"/>
      <c r="D114" s="4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28.5" customHeight="1">
      <c r="A115" s="4"/>
      <c r="B115" s="4"/>
      <c r="C115" s="4"/>
      <c r="D115" s="4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28.5" customHeight="1">
      <c r="A116" s="4"/>
      <c r="B116" s="4"/>
      <c r="C116" s="4"/>
      <c r="D116" s="4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28.5" customHeight="1">
      <c r="A117" s="4"/>
      <c r="B117" s="4"/>
      <c r="C117" s="4"/>
      <c r="D117" s="4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28.5" customHeight="1">
      <c r="A118" s="4"/>
      <c r="B118" s="4"/>
      <c r="C118" s="4"/>
      <c r="D118" s="4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28.5" customHeight="1">
      <c r="A119" s="4"/>
      <c r="B119" s="4"/>
      <c r="C119" s="4"/>
      <c r="D119" s="4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28.5" customHeight="1">
      <c r="A120" s="4"/>
      <c r="B120" s="4"/>
      <c r="C120" s="4"/>
      <c r="D120" s="4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28.5" customHeight="1">
      <c r="A121" s="4"/>
      <c r="B121" s="4"/>
      <c r="C121" s="4"/>
      <c r="D121" s="4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28.5" customHeight="1">
      <c r="A122" s="4"/>
      <c r="B122" s="4"/>
      <c r="C122" s="4"/>
      <c r="D122" s="4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28.5" customHeight="1">
      <c r="A123" s="4"/>
      <c r="B123" s="51"/>
      <c r="C123" s="51"/>
      <c r="D123" s="4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28.5" customHeight="1">
      <c r="A124" s="4"/>
      <c r="B124" s="51"/>
      <c r="C124" s="51"/>
      <c r="D124" s="4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28.5" customHeight="1">
      <c r="A125" s="4"/>
      <c r="B125" s="51"/>
      <c r="C125" s="51"/>
      <c r="D125" s="4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28.5" customHeight="1">
      <c r="A126" s="4"/>
      <c r="B126" s="51"/>
      <c r="C126" s="51"/>
      <c r="D126" s="4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28.5" customHeight="1">
      <c r="A127" s="4"/>
      <c r="B127" s="51"/>
      <c r="C127" s="51"/>
      <c r="D127" s="4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28.5" customHeight="1">
      <c r="A128" s="4"/>
      <c r="B128" s="4"/>
      <c r="C128" s="4"/>
      <c r="D128" s="4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28.5" customHeight="1">
      <c r="A129" s="4"/>
      <c r="B129" s="4"/>
      <c r="C129" s="4"/>
      <c r="D129" s="4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28.5" customHeight="1">
      <c r="A130" s="4"/>
      <c r="B130" s="4"/>
      <c r="C130" s="4"/>
      <c r="D130" s="4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28.5" customHeight="1">
      <c r="A131" s="4"/>
      <c r="B131" s="4"/>
      <c r="C131" s="4"/>
      <c r="D131" s="4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28.5" customHeight="1">
      <c r="A132" s="4"/>
      <c r="B132" s="4"/>
      <c r="C132" s="4"/>
      <c r="D132" s="4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28.5" customHeight="1">
      <c r="A133" s="4"/>
      <c r="B133" s="4"/>
      <c r="C133" s="4"/>
      <c r="D133" s="4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28.5" customHeight="1">
      <c r="A134" s="4"/>
      <c r="B134" s="4"/>
      <c r="C134" s="4"/>
      <c r="D134" s="4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28.5" customHeight="1">
      <c r="A135" s="4"/>
      <c r="B135" s="4"/>
      <c r="C135" s="4"/>
      <c r="D135" s="4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28.5" customHeight="1">
      <c r="A136" s="4"/>
      <c r="B136" s="4"/>
      <c r="C136" s="4"/>
      <c r="D136" s="4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28.5" customHeight="1">
      <c r="A137" s="4"/>
      <c r="B137" s="4"/>
      <c r="C137" s="4"/>
      <c r="D137" s="4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28.5" customHeight="1">
      <c r="A138" s="4"/>
      <c r="B138" s="4"/>
      <c r="C138" s="4"/>
      <c r="D138" s="4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28.5" customHeight="1">
      <c r="A139" s="4"/>
      <c r="B139" s="4"/>
      <c r="C139" s="4"/>
      <c r="D139" s="4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28.5" customHeight="1">
      <c r="A140" s="4"/>
      <c r="B140" s="4"/>
      <c r="C140" s="4"/>
      <c r="D140" s="4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28.5" customHeight="1">
      <c r="A141" s="4"/>
      <c r="B141" s="4"/>
      <c r="C141" s="4"/>
      <c r="D141" s="4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28.5" customHeight="1">
      <c r="A142" s="4"/>
      <c r="B142" s="4"/>
      <c r="C142" s="4"/>
      <c r="D142" s="4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28.5" customHeight="1">
      <c r="A143" s="4"/>
      <c r="B143" s="4"/>
      <c r="C143" s="4"/>
      <c r="D143" s="4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28.5" customHeight="1">
      <c r="A144" s="4"/>
      <c r="B144" s="4"/>
      <c r="C144" s="4"/>
      <c r="D144" s="4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28.5" customHeight="1">
      <c r="A145" s="4"/>
      <c r="B145" s="4"/>
      <c r="C145" s="4"/>
      <c r="D145" s="4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28.5" customHeight="1">
      <c r="A146" s="4"/>
      <c r="B146" s="4"/>
      <c r="C146" s="4"/>
      <c r="D146" s="4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28.5" customHeight="1">
      <c r="A147" s="4"/>
      <c r="B147" s="4"/>
      <c r="C147" s="4"/>
      <c r="D147" s="4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28.5" customHeight="1">
      <c r="A148" s="4"/>
      <c r="B148" s="4"/>
      <c r="C148" s="4"/>
      <c r="D148" s="4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28.5" customHeight="1">
      <c r="A149" s="4"/>
      <c r="B149" s="4"/>
      <c r="C149" s="4"/>
      <c r="D149" s="4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28.5" customHeight="1">
      <c r="A150" s="4"/>
      <c r="B150" s="4"/>
      <c r="C150" s="4"/>
      <c r="D150" s="4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28.5" customHeight="1">
      <c r="A151" s="4"/>
      <c r="B151" s="4"/>
      <c r="C151" s="4"/>
      <c r="D151" s="4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28.5" customHeight="1">
      <c r="A152" s="4"/>
      <c r="B152" s="4"/>
      <c r="C152" s="4"/>
      <c r="D152" s="4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28.5" customHeight="1">
      <c r="A153" s="4"/>
      <c r="B153" s="4"/>
      <c r="C153" s="4"/>
      <c r="D153" s="4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28.5" customHeight="1">
      <c r="A154" s="4"/>
      <c r="B154" s="4"/>
      <c r="C154" s="4"/>
      <c r="D154" s="4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28.5" customHeight="1">
      <c r="A155" s="4"/>
      <c r="B155" s="4"/>
      <c r="C155" s="4"/>
      <c r="D155" s="4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28.5" customHeight="1">
      <c r="A156" s="4"/>
      <c r="B156" s="4"/>
      <c r="C156" s="4"/>
      <c r="D156" s="4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28.5" customHeight="1">
      <c r="A157" s="4"/>
      <c r="B157" s="4"/>
      <c r="C157" s="4"/>
      <c r="D157" s="4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28.5" customHeight="1">
      <c r="A158" s="4"/>
      <c r="B158" s="4"/>
      <c r="C158" s="4"/>
      <c r="D158" s="4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28.5" customHeight="1">
      <c r="A159" s="4"/>
      <c r="B159" s="4"/>
      <c r="C159" s="4"/>
      <c r="D159" s="4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28.5" customHeight="1">
      <c r="A160" s="4"/>
      <c r="B160" s="4"/>
      <c r="C160" s="4"/>
      <c r="D160" s="4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28.5" customHeight="1">
      <c r="A161" s="4"/>
      <c r="B161" s="4"/>
      <c r="C161" s="4"/>
      <c r="D161" s="4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28.5" customHeight="1">
      <c r="A162" s="4"/>
      <c r="B162" s="4"/>
      <c r="C162" s="4"/>
      <c r="D162" s="4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28.5" customHeight="1">
      <c r="A163" s="4"/>
      <c r="B163" s="4"/>
      <c r="C163" s="4"/>
      <c r="D163" s="4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28.5" customHeight="1">
      <c r="A164" s="4"/>
      <c r="B164" s="4"/>
      <c r="C164" s="4"/>
      <c r="D164" s="4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28.5" customHeight="1">
      <c r="A165" s="4"/>
      <c r="B165" s="4"/>
      <c r="C165" s="4"/>
      <c r="D165" s="4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28.5" customHeight="1">
      <c r="A166" s="4"/>
      <c r="B166" s="4"/>
      <c r="C166" s="4"/>
      <c r="D166" s="4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28.5" customHeight="1">
      <c r="A167" s="4"/>
      <c r="B167" s="4"/>
      <c r="C167" s="4"/>
      <c r="D167" s="4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28.5" customHeight="1">
      <c r="A168" s="4"/>
      <c r="B168" s="4"/>
      <c r="C168" s="4"/>
      <c r="D168" s="4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28.5" customHeight="1">
      <c r="A169" s="4"/>
      <c r="B169" s="4"/>
      <c r="C169" s="4"/>
      <c r="D169" s="4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28.5" customHeight="1">
      <c r="A170" s="4"/>
      <c r="B170" s="4"/>
      <c r="C170" s="4"/>
      <c r="D170" s="4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28.5" customHeight="1">
      <c r="A171" s="4"/>
      <c r="B171" s="4"/>
      <c r="C171" s="4"/>
      <c r="D171" s="4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28.5" customHeight="1">
      <c r="A172" s="4"/>
      <c r="B172" s="4"/>
      <c r="C172" s="4"/>
      <c r="D172" s="4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28.5" customHeight="1">
      <c r="A173" s="4"/>
      <c r="B173" s="4"/>
      <c r="C173" s="4"/>
      <c r="D173" s="4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28.5" customHeight="1">
      <c r="A174" s="4"/>
      <c r="B174" s="4"/>
      <c r="C174" s="4"/>
      <c r="D174" s="4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28.5" customHeight="1">
      <c r="A175" s="4"/>
      <c r="B175" s="4"/>
      <c r="C175" s="4"/>
      <c r="D175" s="4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28.5" customHeight="1">
      <c r="A176" s="4"/>
      <c r="B176" s="4"/>
      <c r="C176" s="4"/>
      <c r="D176" s="4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28.5" customHeight="1">
      <c r="A177" s="4"/>
      <c r="B177" s="4"/>
      <c r="C177" s="4"/>
      <c r="D177" s="4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28.5" customHeight="1">
      <c r="A178" s="4"/>
      <c r="B178" s="4"/>
      <c r="C178" s="4"/>
      <c r="D178" s="4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28.5" customHeight="1">
      <c r="A179" s="4"/>
      <c r="B179" s="4"/>
      <c r="C179" s="4"/>
      <c r="D179" s="4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28.5" customHeight="1">
      <c r="A180" s="4"/>
      <c r="B180" s="4"/>
      <c r="C180" s="4"/>
      <c r="D180" s="4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28.5" customHeight="1">
      <c r="A181" s="4"/>
      <c r="B181" s="4"/>
      <c r="C181" s="4"/>
      <c r="D181" s="4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28.5" customHeight="1">
      <c r="A182" s="4"/>
      <c r="B182" s="4"/>
      <c r="C182" s="4"/>
      <c r="D182" s="4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28.5" customHeight="1">
      <c r="A183" s="4"/>
      <c r="B183" s="4"/>
      <c r="C183" s="4"/>
      <c r="D183" s="4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28.5" customHeight="1">
      <c r="A184" s="4"/>
      <c r="B184" s="4"/>
      <c r="C184" s="4"/>
      <c r="D184" s="4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28.5" customHeight="1">
      <c r="A185" s="4"/>
      <c r="B185" s="4"/>
      <c r="C185" s="4"/>
      <c r="D185" s="4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28.5" customHeight="1">
      <c r="A186" s="4"/>
      <c r="B186" s="4"/>
      <c r="C186" s="4"/>
      <c r="D186" s="4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28.5" customHeight="1">
      <c r="A187" s="4"/>
      <c r="B187" s="4"/>
      <c r="C187" s="4"/>
      <c r="D187" s="4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28.5" customHeight="1">
      <c r="A188" s="4"/>
      <c r="B188" s="4"/>
      <c r="C188" s="4"/>
      <c r="D188" s="4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28.5" customHeight="1">
      <c r="A189" s="4"/>
      <c r="B189" s="4"/>
      <c r="C189" s="4"/>
      <c r="D189" s="4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28.5" customHeight="1">
      <c r="A190" s="4"/>
      <c r="B190" s="4"/>
      <c r="C190" s="4"/>
      <c r="D190" s="4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28.5" customHeight="1">
      <c r="A191" s="4"/>
      <c r="B191" s="4"/>
      <c r="C191" s="4"/>
      <c r="D191" s="4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28.5" customHeight="1">
      <c r="A192" s="4"/>
      <c r="B192" s="4"/>
      <c r="C192" s="4"/>
      <c r="D192" s="4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28.5" customHeight="1">
      <c r="A193" s="4"/>
      <c r="B193" s="4"/>
      <c r="C193" s="4"/>
      <c r="D193" s="4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28.5" customHeight="1">
      <c r="A194" s="4"/>
      <c r="B194" s="4"/>
      <c r="C194" s="4"/>
      <c r="D194" s="4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28.5" customHeight="1">
      <c r="A195" s="4"/>
      <c r="B195" s="4"/>
      <c r="C195" s="4"/>
      <c r="D195" s="4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28.5" customHeight="1">
      <c r="A196" s="4"/>
      <c r="B196" s="4"/>
      <c r="C196" s="4"/>
      <c r="D196" s="4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28.5" customHeight="1">
      <c r="A197" s="4"/>
      <c r="B197" s="4"/>
      <c r="C197" s="4"/>
      <c r="D197" s="4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28.5" customHeight="1">
      <c r="A198" s="4"/>
      <c r="B198" s="4"/>
      <c r="C198" s="4"/>
      <c r="D198" s="4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28.5" customHeight="1">
      <c r="A199" s="4"/>
      <c r="B199" s="4"/>
      <c r="C199" s="4"/>
      <c r="D199" s="4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28.5" customHeight="1">
      <c r="A200" s="4"/>
      <c r="B200" s="4"/>
      <c r="C200" s="4"/>
      <c r="D200" s="4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28.5" customHeight="1">
      <c r="A201" s="4"/>
      <c r="B201" s="4"/>
      <c r="C201" s="4"/>
      <c r="D201" s="4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28.5" customHeight="1">
      <c r="A202" s="4"/>
      <c r="B202" s="4"/>
      <c r="C202" s="4"/>
      <c r="D202" s="4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28.5" customHeight="1">
      <c r="A203" s="4"/>
      <c r="B203" s="4"/>
      <c r="C203" s="4"/>
      <c r="D203" s="4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28.5" customHeight="1">
      <c r="A204" s="4"/>
      <c r="B204" s="4"/>
      <c r="C204" s="4"/>
      <c r="D204" s="4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28.5" customHeight="1">
      <c r="A205" s="4"/>
      <c r="B205" s="4"/>
      <c r="C205" s="4"/>
      <c r="D205" s="4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28.5" customHeight="1">
      <c r="A206" s="4"/>
      <c r="B206" s="4"/>
      <c r="C206" s="4"/>
      <c r="D206" s="4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28.5" customHeight="1">
      <c r="A207" s="4"/>
      <c r="B207" s="4"/>
      <c r="C207" s="4"/>
      <c r="D207" s="4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28.5" customHeight="1">
      <c r="A208" s="4"/>
      <c r="B208" s="4"/>
      <c r="C208" s="4"/>
      <c r="D208" s="4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28.5" customHeight="1">
      <c r="A209" s="4"/>
      <c r="B209" s="4"/>
      <c r="C209" s="4"/>
      <c r="D209" s="4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28.5" customHeight="1">
      <c r="A210" s="4"/>
      <c r="B210" s="4"/>
      <c r="C210" s="4"/>
      <c r="D210" s="4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28.5" customHeight="1">
      <c r="A211" s="4"/>
      <c r="B211" s="4"/>
      <c r="C211" s="4"/>
      <c r="D211" s="4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28.5" customHeight="1">
      <c r="A212" s="4"/>
      <c r="B212" s="4"/>
      <c r="C212" s="4"/>
      <c r="D212" s="4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28.5" customHeight="1">
      <c r="A213" s="4"/>
      <c r="B213" s="4"/>
      <c r="C213" s="4"/>
      <c r="D213" s="4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28.5" customHeight="1">
      <c r="A214" s="4"/>
      <c r="B214" s="4"/>
      <c r="C214" s="4"/>
      <c r="D214" s="4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28.5" customHeight="1">
      <c r="A215" s="4"/>
      <c r="B215" s="4"/>
      <c r="C215" s="4"/>
      <c r="D215" s="4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28.5" customHeight="1">
      <c r="A216" s="4"/>
      <c r="B216" s="4"/>
      <c r="C216" s="4"/>
      <c r="D216" s="4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28.5" customHeight="1">
      <c r="A217" s="4"/>
      <c r="B217" s="4"/>
      <c r="C217" s="4"/>
      <c r="D217" s="4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28.5" customHeight="1">
      <c r="A218" s="4"/>
      <c r="B218" s="4"/>
      <c r="C218" s="4"/>
      <c r="D218" s="4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28.5" customHeight="1">
      <c r="A219" s="4"/>
      <c r="B219" s="4"/>
      <c r="C219" s="4"/>
      <c r="D219" s="4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28.5" customHeight="1">
      <c r="A220" s="4"/>
      <c r="B220" s="4"/>
      <c r="C220" s="4"/>
      <c r="D220" s="4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28.5" customHeight="1">
      <c r="A221" s="4"/>
      <c r="B221" s="4"/>
      <c r="C221" s="4"/>
      <c r="D221" s="4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28.5" customHeight="1">
      <c r="A222" s="4"/>
      <c r="B222" s="4"/>
      <c r="C222" s="4"/>
      <c r="D222" s="4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28.5" customHeight="1">
      <c r="A223" s="4"/>
      <c r="B223" s="4"/>
      <c r="C223" s="4"/>
      <c r="D223" s="4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28.5" customHeight="1">
      <c r="A224" s="4"/>
      <c r="B224" s="4"/>
      <c r="C224" s="4"/>
      <c r="D224" s="4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28.5" customHeight="1">
      <c r="A225" s="4"/>
      <c r="B225" s="4"/>
      <c r="C225" s="4"/>
      <c r="D225" s="4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28.5" customHeight="1">
      <c r="A226" s="4"/>
      <c r="B226" s="4"/>
      <c r="C226" s="4"/>
      <c r="D226" s="4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28.5" customHeight="1">
      <c r="A227" s="4"/>
      <c r="B227" s="4"/>
      <c r="C227" s="4"/>
      <c r="D227" s="4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28.5" customHeight="1">
      <c r="A228" s="4"/>
      <c r="B228" s="4"/>
      <c r="C228" s="4"/>
      <c r="D228" s="4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28.5" customHeight="1">
      <c r="A229" s="4"/>
      <c r="B229" s="4"/>
      <c r="C229" s="4"/>
      <c r="D229" s="4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28.5" customHeight="1">
      <c r="A230" s="4"/>
      <c r="B230" s="4"/>
      <c r="C230" s="4"/>
      <c r="D230" s="4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28.5" customHeight="1">
      <c r="A231" s="4"/>
      <c r="B231" s="4"/>
      <c r="C231" s="4"/>
      <c r="D231" s="4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28.5" customHeight="1">
      <c r="A232" s="4"/>
      <c r="B232" s="4"/>
      <c r="C232" s="4"/>
      <c r="D232" s="4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28.5" customHeight="1">
      <c r="A233" s="4"/>
      <c r="B233" s="4"/>
      <c r="C233" s="4"/>
      <c r="D233" s="4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28.5" customHeight="1">
      <c r="A234" s="4"/>
      <c r="B234" s="4"/>
      <c r="C234" s="4"/>
      <c r="D234" s="4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28.5" customHeight="1">
      <c r="A235" s="4"/>
      <c r="B235" s="4"/>
      <c r="C235" s="4"/>
      <c r="D235" s="4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28.5" customHeight="1">
      <c r="A236" s="4"/>
      <c r="B236" s="4"/>
      <c r="C236" s="4"/>
      <c r="D236" s="4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28.5" customHeight="1">
      <c r="A237" s="4"/>
      <c r="B237" s="4"/>
      <c r="C237" s="4"/>
      <c r="D237" s="4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28.5" customHeight="1">
      <c r="A238" s="4"/>
      <c r="B238" s="4"/>
      <c r="C238" s="4"/>
      <c r="D238" s="4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28.5" customHeight="1">
      <c r="A239" s="4"/>
      <c r="B239" s="4"/>
      <c r="C239" s="4"/>
      <c r="D239" s="4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28.5" customHeight="1">
      <c r="A240" s="4"/>
      <c r="B240" s="4"/>
      <c r="C240" s="4"/>
      <c r="D240" s="4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28.5" customHeight="1">
      <c r="A241" s="4"/>
      <c r="B241" s="4"/>
      <c r="C241" s="4"/>
      <c r="D241" s="4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28.5" customHeight="1">
      <c r="A242" s="4"/>
      <c r="B242" s="4"/>
      <c r="C242" s="4"/>
      <c r="D242" s="4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28.5" customHeight="1">
      <c r="A243" s="4"/>
      <c r="B243" s="4"/>
      <c r="C243" s="4"/>
      <c r="D243" s="4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28.5" customHeight="1">
      <c r="A244" s="4"/>
      <c r="B244" s="4"/>
      <c r="C244" s="4"/>
      <c r="D244" s="4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28.5" customHeight="1">
      <c r="A245" s="4"/>
      <c r="B245" s="4"/>
      <c r="C245" s="4"/>
      <c r="D245" s="4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28.5" customHeight="1">
      <c r="A246" s="4"/>
      <c r="B246" s="4"/>
      <c r="C246" s="4"/>
      <c r="D246" s="4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28.5" customHeight="1">
      <c r="A247" s="4"/>
      <c r="B247" s="4"/>
      <c r="C247" s="4"/>
      <c r="D247" s="4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28.5" customHeight="1">
      <c r="A248" s="4"/>
      <c r="B248" s="4"/>
      <c r="C248" s="4"/>
      <c r="D248" s="4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.75" customHeight="1"/>
    <row r="250" spans="1:27" ht="15.75" customHeight="1"/>
    <row r="251" spans="1:27" ht="15.75" customHeight="1"/>
    <row r="252" spans="1:27" ht="15.75" customHeight="1"/>
    <row r="253" spans="1:27" ht="15.75" customHeight="1"/>
    <row r="254" spans="1:27" ht="15.75" customHeight="1"/>
    <row r="255" spans="1:27" ht="15.75" customHeight="1"/>
    <row r="256" spans="1:27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autoFilter ref="A5:AA48" xr:uid="{00000000-0001-0000-0000-000000000000}"/>
  <dataConsolidate/>
  <customSheetViews>
    <customSheetView guid="{C95606EB-D0AD-4ED0-A221-7F7BC8EF7DA7}" filter="1" showAutoFilter="1">
      <pageMargins left="0" right="0" top="0" bottom="0" header="0" footer="0"/>
      <autoFilter ref="G19" xr:uid="{D1D8B9BA-4EF3-4AEF-9D40-11862BA4BF78}"/>
      <extLst>
        <ext uri="GoogleSheetsCustomDataVersion1">
          <go:sheetsCustomData xmlns:go="http://customooxmlschemas.google.com/" filterViewId="2046440735"/>
        </ext>
      </extLst>
    </customSheetView>
  </customSheetViews>
  <mergeCells count="4">
    <mergeCell ref="A1:A3"/>
    <mergeCell ref="B1:Q3"/>
    <mergeCell ref="A48:Q48"/>
    <mergeCell ref="A4:P4"/>
  </mergeCells>
  <conditionalFormatting sqref="E6:P23">
    <cfRule type="cellIs" dxfId="59" priority="16" stopIfTrue="1" operator="equal">
      <formula>"APLAZADA"</formula>
    </cfRule>
    <cfRule type="cellIs" dxfId="58" priority="17" stopIfTrue="1" operator="equal">
      <formula>"CANCELADA"</formula>
    </cfRule>
    <cfRule type="cellIs" dxfId="57" priority="18" stopIfTrue="1" operator="equal">
      <formula>"REPROGRAMADA"</formula>
    </cfRule>
    <cfRule type="cellIs" dxfId="56" priority="19" stopIfTrue="1" operator="equal">
      <formula>"REALIZADA"</formula>
    </cfRule>
    <cfRule type="cellIs" dxfId="55" priority="20" stopIfTrue="1" operator="equal">
      <formula>"X"</formula>
    </cfRule>
  </conditionalFormatting>
  <conditionalFormatting sqref="E28:P47">
    <cfRule type="cellIs" dxfId="54" priority="26" stopIfTrue="1" operator="equal">
      <formula>"APLAZADA"</formula>
    </cfRule>
    <cfRule type="cellIs" dxfId="53" priority="27" stopIfTrue="1" operator="equal">
      <formula>"CANCELADA"</formula>
    </cfRule>
    <cfRule type="cellIs" dxfId="52" priority="28" stopIfTrue="1" operator="equal">
      <formula>"REPROGRAMADA"</formula>
    </cfRule>
    <cfRule type="cellIs" dxfId="51" priority="29" stopIfTrue="1" operator="equal">
      <formula>"REALIZADA"</formula>
    </cfRule>
    <cfRule type="cellIs" dxfId="50" priority="30" stopIfTrue="1" operator="equal">
      <formula>"X"</formula>
    </cfRule>
  </conditionalFormatting>
  <conditionalFormatting sqref="F24:H24">
    <cfRule type="cellIs" dxfId="49" priority="11" stopIfTrue="1" operator="equal">
      <formula>"APLAZADA"</formula>
    </cfRule>
    <cfRule type="cellIs" dxfId="48" priority="12" stopIfTrue="1" operator="equal">
      <formula>"CANCELADA"</formula>
    </cfRule>
    <cfRule type="cellIs" dxfId="47" priority="13" stopIfTrue="1" operator="equal">
      <formula>"REPROGRAMADA"</formula>
    </cfRule>
    <cfRule type="cellIs" dxfId="46" priority="14" stopIfTrue="1" operator="equal">
      <formula>"REALIZADA"</formula>
    </cfRule>
    <cfRule type="cellIs" dxfId="45" priority="15" stopIfTrue="1" operator="equal">
      <formula>"X"</formula>
    </cfRule>
  </conditionalFormatting>
  <conditionalFormatting sqref="F26:H26">
    <cfRule type="cellIs" dxfId="44" priority="1" stopIfTrue="1" operator="equal">
      <formula>"APLAZADA"</formula>
    </cfRule>
    <cfRule type="cellIs" dxfId="43" priority="2" stopIfTrue="1" operator="equal">
      <formula>"CANCELADA"</formula>
    </cfRule>
    <cfRule type="cellIs" dxfId="42" priority="3" stopIfTrue="1" operator="equal">
      <formula>"REPROGRAMADA"</formula>
    </cfRule>
    <cfRule type="cellIs" dxfId="41" priority="4" stopIfTrue="1" operator="equal">
      <formula>"REALIZADA"</formula>
    </cfRule>
    <cfRule type="cellIs" dxfId="40" priority="5" stopIfTrue="1" operator="equal">
      <formula>"X"</formula>
    </cfRule>
  </conditionalFormatting>
  <conditionalFormatting sqref="F25:P25">
    <cfRule type="cellIs" dxfId="39" priority="6" stopIfTrue="1" operator="equal">
      <formula>"APLAZADA"</formula>
    </cfRule>
    <cfRule type="cellIs" dxfId="38" priority="7" stopIfTrue="1" operator="equal">
      <formula>"CANCELADA"</formula>
    </cfRule>
    <cfRule type="cellIs" dxfId="37" priority="8" stopIfTrue="1" operator="equal">
      <formula>"REPROGRAMADA"</formula>
    </cfRule>
    <cfRule type="cellIs" dxfId="36" priority="9" stopIfTrue="1" operator="equal">
      <formula>"REALIZADA"</formula>
    </cfRule>
    <cfRule type="cellIs" dxfId="35" priority="10" stopIfTrue="1" operator="equal">
      <formula>"X"</formula>
    </cfRule>
  </conditionalFormatting>
  <conditionalFormatting sqref="J24:N24 P24 E24:E26 J26:N26 P26 E27:I27 K27:P27">
    <cfRule type="cellIs" dxfId="34" priority="61" stopIfTrue="1" operator="equal">
      <formula>"APLAZADA"</formula>
    </cfRule>
    <cfRule type="cellIs" dxfId="33" priority="62" stopIfTrue="1" operator="equal">
      <formula>"CANCELADA"</formula>
    </cfRule>
    <cfRule type="cellIs" dxfId="32" priority="63" stopIfTrue="1" operator="equal">
      <formula>"REPROGRAMADA"</formula>
    </cfRule>
    <cfRule type="cellIs" dxfId="31" priority="64" stopIfTrue="1" operator="equal">
      <formula>"REALIZADA"</formula>
    </cfRule>
    <cfRule type="cellIs" dxfId="30" priority="65" stopIfTrue="1" operator="equal">
      <formula>"X"</formula>
    </cfRule>
  </conditionalFormatting>
  <dataValidations count="2">
    <dataValidation type="list" allowBlank="1" showInputMessage="1" showErrorMessage="1" sqref="J120" xr:uid="{00000000-0002-0000-0000-000000000000}">
      <formula1>"PROGRAMADA, REPROGRAMADA, CANCELADA, SOLICITUD, APLAZADA"</formula1>
    </dataValidation>
    <dataValidation type="list" allowBlank="1" showErrorMessage="1" sqref="K27:P27 E26:H26 E24:H24 E25:P25 P24 J24:N24 P26 J26:N26 E27:I27 E28:P35 E37:P47 E6:P23" xr:uid="{00000000-0002-0000-0000-000001000000}">
      <formula1>"X,REALIZADA, REPROGRAMADA,APLAZADA,CANCELADA, SOLICITUD"</formula1>
    </dataValidation>
  </dataValidations>
  <printOptions horizontalCentered="1" gridLines="1"/>
  <pageMargins left="0.19685039370078741" right="0.19685039370078741" top="0.39370078740157483" bottom="0.39370078740157483" header="0" footer="0"/>
  <pageSetup scale="32" fitToWidth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FB821-DB70-41CF-BF8A-042D2DF921A0}">
  <sheetPr>
    <pageSetUpPr fitToPage="1"/>
  </sheetPr>
  <dimension ref="A1:AA998"/>
  <sheetViews>
    <sheetView zoomScale="80" zoomScaleNormal="80" workbookViewId="0">
      <pane ySplit="5" topLeftCell="A6" activePane="bottomLeft" state="frozen"/>
      <selection pane="bottomLeft" activeCell="G23" sqref="G23"/>
      <selection activeCell="J1" sqref="J1"/>
    </sheetView>
  </sheetViews>
  <sheetFormatPr defaultColWidth="14.42578125" defaultRowHeight="15" customHeight="1"/>
  <cols>
    <col min="1" max="1" width="36.7109375" style="37" customWidth="1"/>
    <col min="2" max="2" width="32.5703125" style="37" customWidth="1"/>
    <col min="3" max="3" width="32.7109375" style="37" customWidth="1"/>
    <col min="4" max="4" width="19.28515625" style="37" customWidth="1"/>
    <col min="5" max="16" width="13.85546875" customWidth="1"/>
    <col min="17" max="17" width="15.85546875" customWidth="1"/>
    <col min="18" max="27" width="11.42578125" customWidth="1"/>
  </cols>
  <sheetData>
    <row r="1" spans="1:27" ht="28.5" customHeight="1">
      <c r="A1" s="74"/>
      <c r="B1" s="76" t="s">
        <v>0</v>
      </c>
      <c r="C1" s="77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0.25" customHeight="1">
      <c r="A2" s="75"/>
      <c r="B2" s="87"/>
      <c r="C2" s="88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8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23.25" customHeight="1" thickBot="1">
      <c r="A3" s="75"/>
      <c r="B3" s="87"/>
      <c r="C3" s="88"/>
      <c r="D3" s="88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28.5" customHeight="1" thickBot="1">
      <c r="A4" s="78" t="s">
        <v>99</v>
      </c>
      <c r="B4" s="91"/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20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7.25" customHeight="1">
      <c r="A5" s="21" t="s">
        <v>2</v>
      </c>
      <c r="B5" s="21" t="s">
        <v>3</v>
      </c>
      <c r="C5" s="21" t="s">
        <v>4</v>
      </c>
      <c r="D5" s="21" t="s">
        <v>5</v>
      </c>
      <c r="E5" s="13" t="s">
        <v>6</v>
      </c>
      <c r="F5" s="13" t="s">
        <v>7</v>
      </c>
      <c r="G5" s="13" t="s">
        <v>8</v>
      </c>
      <c r="H5" s="14" t="s">
        <v>9</v>
      </c>
      <c r="I5" s="14" t="s">
        <v>10</v>
      </c>
      <c r="J5" s="14" t="s">
        <v>11</v>
      </c>
      <c r="K5" s="14" t="s">
        <v>12</v>
      </c>
      <c r="L5" s="14" t="s">
        <v>13</v>
      </c>
      <c r="M5" s="14" t="s">
        <v>14</v>
      </c>
      <c r="N5" s="14" t="s">
        <v>15</v>
      </c>
      <c r="O5" s="14" t="s">
        <v>16</v>
      </c>
      <c r="P5" s="14" t="s">
        <v>17</v>
      </c>
      <c r="Q5" s="12" t="s">
        <v>18</v>
      </c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28.5" customHeight="1">
      <c r="A6" s="11" t="s">
        <v>19</v>
      </c>
      <c r="B6" s="7" t="s">
        <v>20</v>
      </c>
      <c r="C6" s="7" t="s">
        <v>21</v>
      </c>
      <c r="D6" s="7" t="s">
        <v>100</v>
      </c>
      <c r="E6" s="17"/>
      <c r="F6" s="10" t="s">
        <v>36</v>
      </c>
      <c r="G6" s="10"/>
      <c r="H6" s="10"/>
      <c r="I6" s="10"/>
      <c r="J6" s="10"/>
      <c r="K6" s="10"/>
      <c r="L6" s="10" t="s">
        <v>24</v>
      </c>
      <c r="M6" s="10"/>
      <c r="N6" s="10"/>
      <c r="O6" s="10"/>
      <c r="P6" s="10"/>
      <c r="Q6" s="3">
        <f>COUNTA(E6:P6 )</f>
        <v>2</v>
      </c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28.5" customHeight="1">
      <c r="A7" s="11" t="s">
        <v>19</v>
      </c>
      <c r="B7" s="7" t="s">
        <v>25</v>
      </c>
      <c r="C7" s="7" t="s">
        <v>26</v>
      </c>
      <c r="D7" s="7" t="s">
        <v>27</v>
      </c>
      <c r="E7" s="17"/>
      <c r="F7" s="10"/>
      <c r="G7" s="10"/>
      <c r="H7" s="10" t="s">
        <v>36</v>
      </c>
      <c r="I7" s="10"/>
      <c r="J7" s="10"/>
      <c r="K7" s="10"/>
      <c r="L7" s="10"/>
      <c r="M7" s="10"/>
      <c r="N7" s="10"/>
      <c r="O7" s="10"/>
      <c r="P7" s="10"/>
      <c r="Q7" s="3">
        <f t="shared" ref="Q7:Q57" si="0">COUNTA(E7:P7 )</f>
        <v>1</v>
      </c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28.5" customHeight="1">
      <c r="A8" s="11" t="s">
        <v>19</v>
      </c>
      <c r="B8" s="7" t="s">
        <v>28</v>
      </c>
      <c r="C8" s="32" t="s">
        <v>21</v>
      </c>
      <c r="D8" s="31" t="s">
        <v>29</v>
      </c>
      <c r="E8" s="17"/>
      <c r="F8" s="17"/>
      <c r="G8" s="17"/>
      <c r="H8" s="17"/>
      <c r="I8" s="17"/>
      <c r="J8" s="17" t="s">
        <v>23</v>
      </c>
      <c r="K8" s="17"/>
      <c r="L8" s="17"/>
      <c r="M8" s="17"/>
      <c r="N8" s="17"/>
      <c r="O8" s="17"/>
      <c r="P8" s="17"/>
      <c r="Q8" s="3">
        <f t="shared" si="0"/>
        <v>1</v>
      </c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28.5" customHeight="1">
      <c r="A9" s="11" t="s">
        <v>19</v>
      </c>
      <c r="B9" s="8" t="s">
        <v>30</v>
      </c>
      <c r="C9" s="8" t="s">
        <v>31</v>
      </c>
      <c r="D9" s="8" t="s">
        <v>32</v>
      </c>
      <c r="E9" s="17"/>
      <c r="F9" s="10"/>
      <c r="G9" s="10" t="s">
        <v>36</v>
      </c>
      <c r="H9" s="10"/>
      <c r="I9" s="10"/>
      <c r="J9" s="10"/>
      <c r="K9" s="10"/>
      <c r="L9" s="10"/>
      <c r="M9" s="10"/>
      <c r="N9" s="10"/>
      <c r="O9" s="10"/>
      <c r="P9" s="10"/>
      <c r="Q9" s="3">
        <f t="shared" si="0"/>
        <v>1</v>
      </c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28.5" customHeight="1">
      <c r="A10" s="11" t="s">
        <v>19</v>
      </c>
      <c r="B10" s="7" t="s">
        <v>37</v>
      </c>
      <c r="C10" s="7" t="s">
        <v>38</v>
      </c>
      <c r="D10" s="7" t="s">
        <v>39</v>
      </c>
      <c r="E10" s="17"/>
      <c r="F10" s="10"/>
      <c r="G10" s="10"/>
      <c r="H10" s="10"/>
      <c r="I10" s="10" t="s">
        <v>24</v>
      </c>
      <c r="J10" s="10"/>
      <c r="K10" s="10"/>
      <c r="L10" s="10"/>
      <c r="M10" s="10"/>
      <c r="N10" s="10"/>
      <c r="O10" s="10" t="s">
        <v>24</v>
      </c>
      <c r="P10" s="10"/>
      <c r="Q10" s="3">
        <f t="shared" si="0"/>
        <v>2</v>
      </c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28.5" customHeight="1">
      <c r="A11" s="11" t="s">
        <v>19</v>
      </c>
      <c r="B11" s="7" t="s">
        <v>40</v>
      </c>
      <c r="C11" s="7" t="s">
        <v>38</v>
      </c>
      <c r="D11" s="7" t="s">
        <v>35</v>
      </c>
      <c r="E11" s="17"/>
      <c r="F11" s="10"/>
      <c r="G11" s="10"/>
      <c r="H11" s="10"/>
      <c r="I11" s="10"/>
      <c r="J11" s="10" t="s">
        <v>23</v>
      </c>
      <c r="K11" s="10"/>
      <c r="L11" s="10"/>
      <c r="M11" s="10"/>
      <c r="N11" s="10"/>
      <c r="O11" s="10"/>
      <c r="P11" s="10" t="s">
        <v>24</v>
      </c>
      <c r="Q11" s="3">
        <f t="shared" si="0"/>
        <v>2</v>
      </c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28.5" customHeight="1">
      <c r="A12" s="11" t="s">
        <v>19</v>
      </c>
      <c r="B12" s="7" t="s">
        <v>41</v>
      </c>
      <c r="C12" s="7" t="s">
        <v>38</v>
      </c>
      <c r="D12" s="7" t="s">
        <v>35</v>
      </c>
      <c r="E12" s="17"/>
      <c r="F12" s="10"/>
      <c r="G12" s="10"/>
      <c r="H12" s="10"/>
      <c r="I12" s="10"/>
      <c r="J12" s="10" t="s">
        <v>23</v>
      </c>
      <c r="K12" s="10"/>
      <c r="L12" s="10"/>
      <c r="M12" s="10"/>
      <c r="N12" s="10"/>
      <c r="O12" s="10"/>
      <c r="P12" s="10" t="s">
        <v>24</v>
      </c>
      <c r="Q12" s="3">
        <f t="shared" si="0"/>
        <v>2</v>
      </c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28.5" customHeight="1">
      <c r="A13" s="11" t="s">
        <v>19</v>
      </c>
      <c r="B13" s="7" t="s">
        <v>42</v>
      </c>
      <c r="C13" s="7" t="s">
        <v>43</v>
      </c>
      <c r="D13" s="7" t="s">
        <v>35</v>
      </c>
      <c r="E13" s="17"/>
      <c r="F13" s="10"/>
      <c r="G13" s="10"/>
      <c r="H13" s="10"/>
      <c r="I13" s="10" t="s">
        <v>23</v>
      </c>
      <c r="J13" s="10"/>
      <c r="K13" s="10"/>
      <c r="L13" s="10"/>
      <c r="M13" s="10"/>
      <c r="N13" s="10"/>
      <c r="O13" s="10" t="s">
        <v>24</v>
      </c>
      <c r="P13" s="10"/>
      <c r="Q13" s="3">
        <f t="shared" si="0"/>
        <v>2</v>
      </c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28.5" customHeight="1">
      <c r="A14" s="11" t="s">
        <v>19</v>
      </c>
      <c r="B14" s="7" t="s">
        <v>44</v>
      </c>
      <c r="C14" s="7" t="s">
        <v>38</v>
      </c>
      <c r="D14" s="7" t="s">
        <v>35</v>
      </c>
      <c r="E14" s="17"/>
      <c r="F14" s="10"/>
      <c r="G14" s="10"/>
      <c r="H14" s="10"/>
      <c r="I14" s="10"/>
      <c r="J14" s="10" t="s">
        <v>23</v>
      </c>
      <c r="K14" s="10"/>
      <c r="L14" s="10"/>
      <c r="M14" s="10"/>
      <c r="N14" s="10"/>
      <c r="O14" s="10"/>
      <c r="P14" s="10" t="s">
        <v>24</v>
      </c>
      <c r="Q14" s="3">
        <f t="shared" si="0"/>
        <v>2</v>
      </c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28.5" customHeight="1">
      <c r="A15" s="11" t="s">
        <v>19</v>
      </c>
      <c r="B15" s="7" t="s">
        <v>20</v>
      </c>
      <c r="C15" s="7" t="s">
        <v>45</v>
      </c>
      <c r="D15" s="7" t="s">
        <v>100</v>
      </c>
      <c r="E15" s="17"/>
      <c r="F15" s="17"/>
      <c r="G15" s="10" t="s">
        <v>23</v>
      </c>
      <c r="H15" s="10"/>
      <c r="I15" s="10"/>
      <c r="J15" s="10"/>
      <c r="K15" s="10"/>
      <c r="L15" s="10" t="s">
        <v>24</v>
      </c>
      <c r="M15" s="10"/>
      <c r="N15" s="10"/>
      <c r="O15" s="10"/>
      <c r="P15" s="10"/>
      <c r="Q15" s="3">
        <f t="shared" si="0"/>
        <v>2</v>
      </c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28.5" customHeight="1">
      <c r="A16" s="11" t="s">
        <v>19</v>
      </c>
      <c r="B16" s="7" t="s">
        <v>48</v>
      </c>
      <c r="C16" s="7" t="s">
        <v>38</v>
      </c>
      <c r="D16" s="7" t="s">
        <v>35</v>
      </c>
      <c r="E16" s="17"/>
      <c r="F16" s="17"/>
      <c r="G16" s="10" t="s">
        <v>23</v>
      </c>
      <c r="H16" s="10"/>
      <c r="I16" s="10"/>
      <c r="J16" s="10"/>
      <c r="K16" s="10"/>
      <c r="L16" s="10" t="s">
        <v>24</v>
      </c>
      <c r="M16" s="10"/>
      <c r="N16" s="36"/>
      <c r="O16" s="10"/>
      <c r="P16" s="10"/>
      <c r="Q16" s="3">
        <f t="shared" si="0"/>
        <v>2</v>
      </c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28.5" customHeight="1">
      <c r="A17" s="11" t="s">
        <v>19</v>
      </c>
      <c r="B17" s="7" t="s">
        <v>49</v>
      </c>
      <c r="C17" s="7" t="s">
        <v>50</v>
      </c>
      <c r="D17" s="7" t="s">
        <v>35</v>
      </c>
      <c r="E17" s="17"/>
      <c r="F17" s="10"/>
      <c r="G17" s="10"/>
      <c r="H17" s="10" t="s">
        <v>23</v>
      </c>
      <c r="I17" s="10"/>
      <c r="J17" s="10"/>
      <c r="K17" s="10"/>
      <c r="L17" s="10"/>
      <c r="M17" s="45"/>
      <c r="N17" s="10" t="s">
        <v>23</v>
      </c>
      <c r="O17" s="17"/>
      <c r="P17" s="10"/>
      <c r="Q17" s="3">
        <f t="shared" si="0"/>
        <v>2</v>
      </c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28.5" customHeight="1">
      <c r="A18" s="11" t="s">
        <v>19</v>
      </c>
      <c r="B18" s="7" t="s">
        <v>51</v>
      </c>
      <c r="C18" s="7" t="s">
        <v>50</v>
      </c>
      <c r="D18" s="7" t="s">
        <v>35</v>
      </c>
      <c r="E18" s="35"/>
      <c r="F18" s="36"/>
      <c r="G18" s="36"/>
      <c r="H18" s="36" t="s">
        <v>23</v>
      </c>
      <c r="I18" s="36"/>
      <c r="J18" s="36"/>
      <c r="K18" s="36"/>
      <c r="L18" s="36"/>
      <c r="M18" s="46"/>
      <c r="N18" s="10" t="s">
        <v>23</v>
      </c>
      <c r="O18" s="35"/>
      <c r="P18" s="36"/>
      <c r="Q18" s="3">
        <f t="shared" si="0"/>
        <v>2</v>
      </c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28.5" customHeight="1">
      <c r="A19" s="40" t="s">
        <v>19</v>
      </c>
      <c r="B19" s="31" t="s">
        <v>52</v>
      </c>
      <c r="C19" s="7" t="s">
        <v>50</v>
      </c>
      <c r="D19" s="7" t="s">
        <v>35</v>
      </c>
      <c r="E19" s="41"/>
      <c r="F19" s="25"/>
      <c r="G19" s="25"/>
      <c r="H19" s="25" t="s">
        <v>23</v>
      </c>
      <c r="I19" s="25"/>
      <c r="J19" s="25"/>
      <c r="K19" s="25"/>
      <c r="L19" s="25"/>
      <c r="M19" s="47"/>
      <c r="N19" s="10" t="s">
        <v>23</v>
      </c>
      <c r="O19" s="41"/>
      <c r="P19" s="25"/>
      <c r="Q19" s="3">
        <f t="shared" si="0"/>
        <v>2</v>
      </c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28.5" customHeight="1">
      <c r="A20" s="38" t="s">
        <v>56</v>
      </c>
      <c r="B20" s="27" t="s">
        <v>57</v>
      </c>
      <c r="C20" s="27" t="s">
        <v>38</v>
      </c>
      <c r="D20" s="27" t="s">
        <v>35</v>
      </c>
      <c r="E20" s="39"/>
      <c r="F20" s="17" t="s">
        <v>23</v>
      </c>
      <c r="G20" s="39"/>
      <c r="H20" s="39"/>
      <c r="I20" s="39"/>
      <c r="J20" s="39"/>
      <c r="K20" s="39"/>
      <c r="L20" s="39" t="s">
        <v>24</v>
      </c>
      <c r="M20" s="39"/>
      <c r="N20" s="39"/>
      <c r="O20" s="39"/>
      <c r="P20" s="39"/>
      <c r="Q20" s="3">
        <f t="shared" si="0"/>
        <v>2</v>
      </c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26.25" customHeight="1">
      <c r="A21" s="33" t="s">
        <v>56</v>
      </c>
      <c r="B21" s="6" t="s">
        <v>42</v>
      </c>
      <c r="C21" s="6" t="s">
        <v>43</v>
      </c>
      <c r="D21" s="6" t="s">
        <v>35</v>
      </c>
      <c r="E21" s="34"/>
      <c r="F21" s="17" t="s">
        <v>23</v>
      </c>
      <c r="G21" s="34"/>
      <c r="H21" s="34"/>
      <c r="I21" s="30"/>
      <c r="J21" s="34"/>
      <c r="K21" s="34"/>
      <c r="L21" s="34" t="s">
        <v>24</v>
      </c>
      <c r="M21" s="34"/>
      <c r="N21" s="34"/>
      <c r="O21" s="30"/>
      <c r="P21" s="34"/>
      <c r="Q21" s="3">
        <f t="shared" si="0"/>
        <v>2</v>
      </c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28.5" customHeight="1">
      <c r="A22" s="33" t="s">
        <v>58</v>
      </c>
      <c r="B22" s="6" t="s">
        <v>57</v>
      </c>
      <c r="C22" s="6" t="s">
        <v>38</v>
      </c>
      <c r="D22" s="6" t="s">
        <v>35</v>
      </c>
      <c r="E22" s="34"/>
      <c r="F22" s="17" t="s">
        <v>23</v>
      </c>
      <c r="G22" s="34"/>
      <c r="H22" s="34"/>
      <c r="I22" s="34"/>
      <c r="J22" s="34"/>
      <c r="K22" s="34"/>
      <c r="L22" s="34" t="s">
        <v>24</v>
      </c>
      <c r="M22" s="34"/>
      <c r="N22" s="34"/>
      <c r="O22" s="34"/>
      <c r="P22" s="34"/>
      <c r="Q22" s="3">
        <f t="shared" si="0"/>
        <v>2</v>
      </c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28.5" customHeight="1">
      <c r="A23" s="33" t="s">
        <v>58</v>
      </c>
      <c r="B23" s="6" t="s">
        <v>42</v>
      </c>
      <c r="C23" s="6" t="s">
        <v>43</v>
      </c>
      <c r="D23" s="6" t="s">
        <v>35</v>
      </c>
      <c r="E23" s="34"/>
      <c r="F23" s="17" t="s">
        <v>23</v>
      </c>
      <c r="G23" s="34"/>
      <c r="H23" s="34"/>
      <c r="I23" s="30"/>
      <c r="J23" s="34"/>
      <c r="K23" s="34"/>
      <c r="L23" s="34" t="s">
        <v>24</v>
      </c>
      <c r="M23" s="34"/>
      <c r="N23" s="34"/>
      <c r="O23" s="30"/>
      <c r="P23" s="34"/>
      <c r="Q23" s="3">
        <f t="shared" si="0"/>
        <v>2</v>
      </c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28.5" customHeight="1">
      <c r="A24" s="11" t="s">
        <v>60</v>
      </c>
      <c r="B24" s="16" t="s">
        <v>57</v>
      </c>
      <c r="C24" s="16" t="s">
        <v>38</v>
      </c>
      <c r="D24" s="5" t="s">
        <v>35</v>
      </c>
      <c r="E24" s="10"/>
      <c r="F24" s="10"/>
      <c r="G24" s="10"/>
      <c r="H24" s="10"/>
      <c r="I24" s="10" t="s">
        <v>23</v>
      </c>
      <c r="J24" s="10"/>
      <c r="K24" s="10"/>
      <c r="L24" s="10"/>
      <c r="M24" s="10"/>
      <c r="N24" s="10"/>
      <c r="O24" s="10" t="s">
        <v>24</v>
      </c>
      <c r="P24" s="10"/>
      <c r="Q24" s="3">
        <f t="shared" si="0"/>
        <v>2</v>
      </c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28.5" customHeight="1">
      <c r="A25" s="11" t="s">
        <v>60</v>
      </c>
      <c r="B25" s="3" t="s">
        <v>42</v>
      </c>
      <c r="C25" s="3" t="s">
        <v>43</v>
      </c>
      <c r="D25" s="3" t="s">
        <v>35</v>
      </c>
      <c r="E25" s="10"/>
      <c r="F25" s="10"/>
      <c r="G25" s="10"/>
      <c r="H25" s="10"/>
      <c r="I25" s="10" t="s">
        <v>23</v>
      </c>
      <c r="J25" s="10"/>
      <c r="K25" s="10"/>
      <c r="L25" s="10"/>
      <c r="M25" s="10"/>
      <c r="N25" s="10"/>
      <c r="O25" s="10" t="s">
        <v>24</v>
      </c>
      <c r="P25" s="10"/>
      <c r="Q25" s="3">
        <f t="shared" si="0"/>
        <v>2</v>
      </c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28.5" customHeight="1">
      <c r="A26" s="15" t="s">
        <v>101</v>
      </c>
      <c r="B26" s="3" t="s">
        <v>62</v>
      </c>
      <c r="C26" s="16" t="s">
        <v>38</v>
      </c>
      <c r="D26" s="3" t="s">
        <v>35</v>
      </c>
      <c r="E26" s="10" t="s">
        <v>23</v>
      </c>
      <c r="F26" s="10"/>
      <c r="G26" s="10"/>
      <c r="H26" s="10"/>
      <c r="I26" s="10"/>
      <c r="J26" s="10"/>
      <c r="K26" s="10" t="s">
        <v>23</v>
      </c>
      <c r="L26" s="10"/>
      <c r="M26" s="10"/>
      <c r="N26" s="10"/>
      <c r="O26" s="10"/>
      <c r="P26" s="10"/>
      <c r="Q26" s="3">
        <f t="shared" si="0"/>
        <v>2</v>
      </c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28.5" customHeight="1">
      <c r="A27" s="15" t="s">
        <v>101</v>
      </c>
      <c r="B27" s="3" t="s">
        <v>49</v>
      </c>
      <c r="C27" s="16" t="s">
        <v>38</v>
      </c>
      <c r="D27" s="3" t="s">
        <v>35</v>
      </c>
      <c r="E27" s="10" t="s">
        <v>23</v>
      </c>
      <c r="F27" s="10"/>
      <c r="G27" s="10"/>
      <c r="H27" s="10"/>
      <c r="I27" s="10"/>
      <c r="J27" s="10"/>
      <c r="K27" s="10" t="s">
        <v>23</v>
      </c>
      <c r="L27" s="10"/>
      <c r="M27" s="10"/>
      <c r="N27" s="10"/>
      <c r="O27" s="10"/>
      <c r="P27" s="10"/>
      <c r="Q27" s="3">
        <f t="shared" si="0"/>
        <v>2</v>
      </c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28.5" customHeight="1">
      <c r="A28" s="15" t="s">
        <v>63</v>
      </c>
      <c r="B28" s="44" t="s">
        <v>37</v>
      </c>
      <c r="C28" s="3" t="s">
        <v>64</v>
      </c>
      <c r="D28" s="3" t="s">
        <v>65</v>
      </c>
      <c r="E28" s="10"/>
      <c r="F28" s="10"/>
      <c r="G28" s="10"/>
      <c r="H28" s="10" t="s">
        <v>23</v>
      </c>
      <c r="I28" s="10"/>
      <c r="J28" s="10"/>
      <c r="K28" s="10"/>
      <c r="L28" s="10"/>
      <c r="M28" s="10"/>
      <c r="N28" s="10"/>
      <c r="O28" s="10"/>
      <c r="P28" s="10"/>
      <c r="Q28" s="3">
        <f t="shared" si="0"/>
        <v>1</v>
      </c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28.5" customHeight="1">
      <c r="A29" s="48" t="s">
        <v>63</v>
      </c>
      <c r="B29" s="3" t="s">
        <v>66</v>
      </c>
      <c r="C29" s="3" t="s">
        <v>64</v>
      </c>
      <c r="D29" s="3" t="s">
        <v>67</v>
      </c>
      <c r="E29" s="10"/>
      <c r="F29" s="10"/>
      <c r="G29" s="10"/>
      <c r="H29" s="10"/>
      <c r="I29" s="10"/>
      <c r="J29" s="10"/>
      <c r="K29" s="10"/>
      <c r="L29" s="10"/>
      <c r="M29" s="10" t="s">
        <v>24</v>
      </c>
      <c r="N29" s="10"/>
      <c r="O29" s="10"/>
      <c r="P29" s="10"/>
      <c r="Q29" s="3">
        <f t="shared" si="0"/>
        <v>1</v>
      </c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28.5" customHeight="1">
      <c r="A30" s="49" t="s">
        <v>63</v>
      </c>
      <c r="B30" s="3" t="s">
        <v>68</v>
      </c>
      <c r="C30" s="3" t="s">
        <v>64</v>
      </c>
      <c r="D30" s="3" t="s">
        <v>69</v>
      </c>
      <c r="E30" s="10"/>
      <c r="F30" s="10"/>
      <c r="G30" s="10"/>
      <c r="H30" s="10"/>
      <c r="I30" s="10"/>
      <c r="J30" s="10"/>
      <c r="K30" s="10"/>
      <c r="L30" s="10"/>
      <c r="M30" s="10" t="s">
        <v>24</v>
      </c>
      <c r="N30" s="10"/>
      <c r="O30" s="10"/>
      <c r="P30" s="10"/>
      <c r="Q30" s="3">
        <f t="shared" si="0"/>
        <v>1</v>
      </c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28.5" customHeight="1">
      <c r="A31" s="49" t="s">
        <v>63</v>
      </c>
      <c r="B31" s="3" t="s">
        <v>70</v>
      </c>
      <c r="C31" s="3" t="s">
        <v>71</v>
      </c>
      <c r="D31" s="3" t="s">
        <v>72</v>
      </c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 t="s">
        <v>24</v>
      </c>
      <c r="Q31" s="3">
        <f t="shared" si="0"/>
        <v>1</v>
      </c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28.5" customHeight="1">
      <c r="A32" s="24" t="s">
        <v>63</v>
      </c>
      <c r="B32" s="3" t="s">
        <v>73</v>
      </c>
      <c r="C32" s="3" t="s">
        <v>71</v>
      </c>
      <c r="D32" s="3" t="s">
        <v>69</v>
      </c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 t="s">
        <v>24</v>
      </c>
      <c r="P32" s="10"/>
      <c r="Q32" s="3">
        <f t="shared" si="0"/>
        <v>1</v>
      </c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39.75" customHeight="1">
      <c r="A33" s="28" t="s">
        <v>74</v>
      </c>
      <c r="B33" s="7" t="s">
        <v>75</v>
      </c>
      <c r="C33" s="7" t="s">
        <v>76</v>
      </c>
      <c r="D33" s="29" t="s">
        <v>77</v>
      </c>
      <c r="E33" s="10"/>
      <c r="F33" s="10"/>
      <c r="G33" s="10"/>
      <c r="H33" s="10"/>
      <c r="I33" s="10" t="s">
        <v>23</v>
      </c>
      <c r="J33" s="10"/>
      <c r="K33" s="10"/>
      <c r="L33" s="10"/>
      <c r="M33" s="10"/>
      <c r="N33" s="10"/>
      <c r="O33" s="10"/>
      <c r="P33" s="10"/>
      <c r="Q33" s="3">
        <f t="shared" si="0"/>
        <v>1</v>
      </c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28.5" customHeight="1">
      <c r="A34" s="22" t="s">
        <v>78</v>
      </c>
      <c r="B34" s="7" t="s">
        <v>48</v>
      </c>
      <c r="C34" s="7" t="s">
        <v>78</v>
      </c>
      <c r="D34" s="7" t="s">
        <v>35</v>
      </c>
      <c r="E34" s="10"/>
      <c r="F34" s="10"/>
      <c r="G34" s="10" t="s">
        <v>36</v>
      </c>
      <c r="H34" s="10"/>
      <c r="I34" s="10"/>
      <c r="J34" s="10"/>
      <c r="K34" s="10"/>
      <c r="L34" s="10"/>
      <c r="M34" s="10" t="s">
        <v>24</v>
      </c>
      <c r="N34" s="10"/>
      <c r="O34" s="10"/>
      <c r="P34" s="10"/>
      <c r="Q34" s="3">
        <f t="shared" si="0"/>
        <v>2</v>
      </c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28.5" customHeight="1">
      <c r="A35" s="22" t="s">
        <v>78</v>
      </c>
      <c r="B35" s="7" t="s">
        <v>79</v>
      </c>
      <c r="C35" s="7" t="s">
        <v>80</v>
      </c>
      <c r="D35" s="7" t="s">
        <v>81</v>
      </c>
      <c r="E35" s="10"/>
      <c r="F35" s="10"/>
      <c r="G35" s="10" t="s">
        <v>36</v>
      </c>
      <c r="H35" s="10"/>
      <c r="I35" s="10"/>
      <c r="J35" s="10"/>
      <c r="K35" s="10"/>
      <c r="L35" s="10"/>
      <c r="M35" s="10"/>
      <c r="N35" s="10"/>
      <c r="O35" s="10"/>
      <c r="P35" s="10"/>
      <c r="Q35" s="3">
        <f t="shared" si="0"/>
        <v>1</v>
      </c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38.25" customHeight="1">
      <c r="A36" s="22" t="s">
        <v>78</v>
      </c>
      <c r="B36" s="7" t="s">
        <v>82</v>
      </c>
      <c r="C36" s="7" t="s">
        <v>80</v>
      </c>
      <c r="D36" s="7" t="s">
        <v>81</v>
      </c>
      <c r="E36" s="25"/>
      <c r="F36" s="10"/>
      <c r="G36" s="10" t="s">
        <v>36</v>
      </c>
      <c r="H36" s="10"/>
      <c r="I36" s="10"/>
      <c r="J36" s="10"/>
      <c r="K36" s="10"/>
      <c r="L36" s="10"/>
      <c r="M36" s="10"/>
      <c r="N36" s="10"/>
      <c r="O36" s="10"/>
      <c r="P36" s="10"/>
      <c r="Q36" s="3">
        <f t="shared" si="0"/>
        <v>1</v>
      </c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28.5" customHeight="1">
      <c r="A37" s="11" t="s">
        <v>83</v>
      </c>
      <c r="B37" s="26" t="s">
        <v>57</v>
      </c>
      <c r="C37" s="59" t="s">
        <v>84</v>
      </c>
      <c r="D37" s="3" t="s">
        <v>35</v>
      </c>
      <c r="E37" s="19"/>
      <c r="F37" s="10"/>
      <c r="G37" s="10"/>
      <c r="H37" s="10"/>
      <c r="I37" s="10"/>
      <c r="K37" s="10" t="s">
        <v>36</v>
      </c>
      <c r="L37" s="10"/>
      <c r="M37" s="10"/>
      <c r="N37" s="10"/>
      <c r="O37" s="10"/>
      <c r="P37" s="10"/>
      <c r="Q37" s="3">
        <f t="shared" si="0"/>
        <v>1</v>
      </c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28.5" customHeight="1">
      <c r="A38" s="33" t="s">
        <v>85</v>
      </c>
      <c r="B38" s="7" t="s">
        <v>86</v>
      </c>
      <c r="C38" s="7" t="s">
        <v>87</v>
      </c>
      <c r="D38" s="7" t="s">
        <v>88</v>
      </c>
      <c r="E38" s="34"/>
      <c r="F38" s="34"/>
      <c r="G38" s="34"/>
      <c r="H38" s="34"/>
      <c r="I38" s="34"/>
      <c r="J38" s="34"/>
      <c r="K38" s="34"/>
      <c r="L38" s="17" t="s">
        <v>23</v>
      </c>
      <c r="M38" s="34"/>
      <c r="N38" s="34"/>
      <c r="O38" s="34"/>
      <c r="P38" s="34"/>
      <c r="Q38" s="3">
        <f t="shared" si="0"/>
        <v>1</v>
      </c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28.5" customHeight="1">
      <c r="A39" s="33" t="s">
        <v>85</v>
      </c>
      <c r="B39" s="7" t="s">
        <v>89</v>
      </c>
      <c r="C39" s="7" t="s">
        <v>87</v>
      </c>
      <c r="D39" s="7" t="s">
        <v>88</v>
      </c>
      <c r="E39" s="34"/>
      <c r="F39" s="34"/>
      <c r="G39" s="34"/>
      <c r="H39" s="34"/>
      <c r="I39" s="34"/>
      <c r="J39" s="34"/>
      <c r="K39" s="34"/>
      <c r="L39" s="17" t="s">
        <v>23</v>
      </c>
      <c r="M39" s="34"/>
      <c r="N39" s="34"/>
      <c r="O39" s="34"/>
      <c r="P39" s="34"/>
      <c r="Q39" s="3">
        <f t="shared" si="0"/>
        <v>1</v>
      </c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28.5" customHeight="1">
      <c r="A40" s="33" t="s">
        <v>85</v>
      </c>
      <c r="B40" s="31" t="s">
        <v>90</v>
      </c>
      <c r="C40" s="7" t="s">
        <v>91</v>
      </c>
      <c r="D40" s="7" t="s">
        <v>92</v>
      </c>
      <c r="E40" s="34"/>
      <c r="F40" s="34"/>
      <c r="G40" s="34"/>
      <c r="H40" s="34"/>
      <c r="I40" s="34"/>
      <c r="J40" s="34"/>
      <c r="K40" s="34"/>
      <c r="L40" s="34"/>
      <c r="M40" s="34"/>
      <c r="N40" s="34" t="s">
        <v>23</v>
      </c>
      <c r="O40" s="34"/>
      <c r="P40" s="34"/>
      <c r="Q40" s="3">
        <f t="shared" si="0"/>
        <v>1</v>
      </c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28.5" customHeight="1">
      <c r="A41" s="23" t="s">
        <v>93</v>
      </c>
      <c r="B41" s="7" t="s">
        <v>94</v>
      </c>
      <c r="C41" s="7" t="s">
        <v>93</v>
      </c>
      <c r="D41" s="7" t="s">
        <v>35</v>
      </c>
      <c r="E41" s="17"/>
      <c r="F41" s="10"/>
      <c r="G41" s="10"/>
      <c r="H41" s="10" t="s">
        <v>23</v>
      </c>
      <c r="I41" s="10"/>
      <c r="J41" s="10"/>
      <c r="K41" s="10"/>
      <c r="L41" s="10"/>
      <c r="M41" s="10"/>
      <c r="N41" s="10"/>
      <c r="O41" s="10"/>
      <c r="P41" s="10"/>
      <c r="Q41" s="3">
        <f t="shared" si="0"/>
        <v>1</v>
      </c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28.5" customHeight="1">
      <c r="A42" s="23" t="s">
        <v>93</v>
      </c>
      <c r="B42" s="9" t="s">
        <v>95</v>
      </c>
      <c r="C42" s="7" t="s">
        <v>93</v>
      </c>
      <c r="D42" s="9" t="s">
        <v>35</v>
      </c>
      <c r="E42" s="17"/>
      <c r="F42" s="10"/>
      <c r="G42" s="10"/>
      <c r="H42" s="10"/>
      <c r="I42" s="10"/>
      <c r="J42" s="10"/>
      <c r="K42" s="10" t="s">
        <v>23</v>
      </c>
      <c r="L42" s="10"/>
      <c r="M42" s="10"/>
      <c r="N42" s="10"/>
      <c r="O42" s="10"/>
      <c r="P42" s="10"/>
      <c r="Q42" s="3">
        <f t="shared" si="0"/>
        <v>1</v>
      </c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28.5" customHeight="1">
      <c r="A43" s="52" t="s">
        <v>93</v>
      </c>
      <c r="B43" s="53" t="s">
        <v>96</v>
      </c>
      <c r="C43" s="54" t="s">
        <v>93</v>
      </c>
      <c r="D43" s="53" t="s">
        <v>97</v>
      </c>
      <c r="E43" s="36"/>
      <c r="F43" s="36"/>
      <c r="G43" s="36"/>
      <c r="H43" s="36"/>
      <c r="I43" s="36"/>
      <c r="J43" s="36"/>
      <c r="K43" s="36"/>
      <c r="L43" s="36"/>
      <c r="M43" s="36" t="s">
        <v>24</v>
      </c>
      <c r="N43" s="36"/>
      <c r="O43" s="36"/>
      <c r="P43" s="36"/>
      <c r="Q43" s="3">
        <f t="shared" si="0"/>
        <v>1</v>
      </c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28.5" customHeight="1">
      <c r="A44" s="23" t="s">
        <v>102</v>
      </c>
      <c r="B44" s="7" t="s">
        <v>103</v>
      </c>
      <c r="C44" s="7" t="s">
        <v>104</v>
      </c>
      <c r="D44" s="7" t="s">
        <v>105</v>
      </c>
      <c r="E44" s="56" t="s">
        <v>23</v>
      </c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3">
        <f t="shared" si="0"/>
        <v>1</v>
      </c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28.5" customHeight="1">
      <c r="A45" s="52" t="s">
        <v>19</v>
      </c>
      <c r="B45" s="54" t="s">
        <v>103</v>
      </c>
      <c r="C45" s="54" t="s">
        <v>45</v>
      </c>
      <c r="D45" s="58" t="s">
        <v>105</v>
      </c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">
        <f t="shared" si="0"/>
        <v>0</v>
      </c>
      <c r="R45" s="55"/>
      <c r="S45" s="1"/>
      <c r="T45" s="1"/>
      <c r="U45" s="1"/>
      <c r="V45" s="1"/>
      <c r="W45" s="1"/>
      <c r="X45" s="1"/>
      <c r="Y45" s="1"/>
      <c r="Z45" s="1"/>
      <c r="AA45" s="1"/>
    </row>
    <row r="46" spans="1:27" ht="28.5" customHeight="1">
      <c r="A46" s="48" t="s">
        <v>19</v>
      </c>
      <c r="B46" s="8" t="s">
        <v>52</v>
      </c>
      <c r="C46" s="8" t="s">
        <v>31</v>
      </c>
      <c r="D46" s="8" t="s">
        <v>92</v>
      </c>
      <c r="E46" s="36"/>
      <c r="F46" s="36"/>
      <c r="G46" s="36"/>
      <c r="H46" s="36" t="s">
        <v>23</v>
      </c>
      <c r="I46" s="36"/>
      <c r="J46" s="36"/>
      <c r="K46" s="36"/>
      <c r="L46" s="36"/>
      <c r="M46" s="36"/>
      <c r="N46" s="36"/>
      <c r="O46" s="36"/>
      <c r="P46" s="36"/>
      <c r="Q46" s="3">
        <f t="shared" si="0"/>
        <v>1</v>
      </c>
      <c r="R46" s="55"/>
      <c r="S46" s="1"/>
      <c r="T46" s="1"/>
      <c r="U46" s="1"/>
      <c r="V46" s="1"/>
      <c r="W46" s="1"/>
      <c r="X46" s="1"/>
      <c r="Y46" s="1"/>
      <c r="Z46" s="1"/>
      <c r="AA46" s="1"/>
    </row>
    <row r="47" spans="1:27" ht="28.5" customHeight="1">
      <c r="A47" s="48" t="s">
        <v>106</v>
      </c>
      <c r="B47" s="8" t="s">
        <v>107</v>
      </c>
      <c r="C47" s="8" t="s">
        <v>45</v>
      </c>
      <c r="D47" s="8" t="s">
        <v>35</v>
      </c>
      <c r="E47" s="10"/>
      <c r="F47" s="10"/>
      <c r="G47" s="10"/>
      <c r="H47" s="10"/>
      <c r="I47" s="10" t="s">
        <v>23</v>
      </c>
      <c r="J47" s="10"/>
      <c r="K47" s="10"/>
      <c r="L47" s="10"/>
      <c r="M47" s="10"/>
      <c r="N47" s="10"/>
      <c r="O47" s="10"/>
      <c r="P47" s="10"/>
      <c r="Q47" s="3">
        <f t="shared" si="0"/>
        <v>1</v>
      </c>
      <c r="R47" s="55"/>
      <c r="S47" s="1"/>
      <c r="T47" s="1"/>
      <c r="U47" s="1"/>
      <c r="V47" s="1"/>
      <c r="W47" s="1"/>
      <c r="X47" s="1"/>
      <c r="Y47" s="1"/>
      <c r="Z47" s="1"/>
      <c r="AA47" s="1"/>
    </row>
    <row r="48" spans="1:27" ht="28.5" customHeight="1">
      <c r="A48" s="60" t="s">
        <v>108</v>
      </c>
      <c r="B48" s="3" t="s">
        <v>90</v>
      </c>
      <c r="C48" s="3" t="s">
        <v>109</v>
      </c>
      <c r="D48" s="3" t="s">
        <v>110</v>
      </c>
      <c r="E48" s="17" t="s">
        <v>24</v>
      </c>
      <c r="F48" s="10"/>
      <c r="G48" s="10"/>
      <c r="H48" s="10"/>
      <c r="I48" s="10"/>
      <c r="J48" s="10"/>
      <c r="K48" s="10" t="s">
        <v>23</v>
      </c>
      <c r="L48" s="10"/>
      <c r="M48" s="10"/>
      <c r="N48" s="10"/>
      <c r="O48" s="10"/>
      <c r="P48" s="10"/>
      <c r="Q48" s="3">
        <f t="shared" si="0"/>
        <v>2</v>
      </c>
      <c r="R48" s="55"/>
      <c r="S48" s="1"/>
      <c r="T48" s="1"/>
      <c r="U48" s="1"/>
      <c r="V48" s="1"/>
      <c r="W48" s="1"/>
      <c r="X48" s="1"/>
      <c r="Y48" s="1"/>
      <c r="Z48" s="1"/>
      <c r="AA48" s="1"/>
    </row>
    <row r="49" spans="1:27" ht="28.5" customHeight="1">
      <c r="A49" s="57" t="s">
        <v>108</v>
      </c>
      <c r="B49" s="3" t="s">
        <v>48</v>
      </c>
      <c r="C49" s="3" t="s">
        <v>45</v>
      </c>
      <c r="D49" s="3" t="s">
        <v>110</v>
      </c>
      <c r="E49" s="17"/>
      <c r="F49" s="10" t="s">
        <v>24</v>
      </c>
      <c r="G49" s="10"/>
      <c r="H49" s="10"/>
      <c r="I49" s="10"/>
      <c r="J49" s="10"/>
      <c r="K49" s="10"/>
      <c r="L49" s="10" t="s">
        <v>24</v>
      </c>
      <c r="M49" s="10"/>
      <c r="N49" s="10"/>
      <c r="O49" s="10"/>
      <c r="P49" s="10"/>
      <c r="Q49" s="3">
        <f t="shared" si="0"/>
        <v>2</v>
      </c>
      <c r="R49" s="55"/>
      <c r="S49" s="1"/>
      <c r="T49" s="1"/>
      <c r="U49" s="1"/>
      <c r="V49" s="1"/>
      <c r="W49" s="1"/>
      <c r="X49" s="1"/>
      <c r="Y49" s="1"/>
      <c r="Z49" s="1"/>
      <c r="AA49" s="1"/>
    </row>
    <row r="50" spans="1:27" ht="28.5" customHeight="1">
      <c r="A50" s="57" t="s">
        <v>108</v>
      </c>
      <c r="B50" s="3" t="s">
        <v>111</v>
      </c>
      <c r="C50" s="3" t="s">
        <v>45</v>
      </c>
      <c r="D50" s="3" t="s">
        <v>112</v>
      </c>
      <c r="E50" s="17"/>
      <c r="F50" s="10"/>
      <c r="G50" s="10" t="s">
        <v>24</v>
      </c>
      <c r="H50" s="10"/>
      <c r="I50" s="10"/>
      <c r="J50" s="10"/>
      <c r="K50" s="10"/>
      <c r="L50" s="10"/>
      <c r="M50" s="10" t="s">
        <v>24</v>
      </c>
      <c r="N50" s="10"/>
      <c r="O50" s="10"/>
      <c r="P50" s="10"/>
      <c r="Q50" s="3">
        <f t="shared" si="0"/>
        <v>2</v>
      </c>
      <c r="R50" s="55"/>
      <c r="S50" s="1"/>
      <c r="T50" s="1"/>
      <c r="U50" s="1"/>
      <c r="V50" s="1"/>
      <c r="W50" s="1"/>
      <c r="X50" s="1"/>
      <c r="Y50" s="1"/>
      <c r="Z50" s="1"/>
      <c r="AA50" s="1"/>
    </row>
    <row r="51" spans="1:27" ht="28.5" customHeight="1">
      <c r="A51" s="57" t="s">
        <v>108</v>
      </c>
      <c r="B51" s="3" t="s">
        <v>113</v>
      </c>
      <c r="C51" s="3" t="s">
        <v>45</v>
      </c>
      <c r="D51" s="3" t="s">
        <v>112</v>
      </c>
      <c r="E51" s="17"/>
      <c r="F51" s="10"/>
      <c r="G51" s="10" t="s">
        <v>24</v>
      </c>
      <c r="H51" s="10"/>
      <c r="I51" s="10"/>
      <c r="J51" s="10"/>
      <c r="K51" s="10"/>
      <c r="L51" s="10"/>
      <c r="M51" s="10" t="s">
        <v>24</v>
      </c>
      <c r="N51" s="10"/>
      <c r="O51" s="10"/>
      <c r="P51" s="10"/>
      <c r="Q51" s="3">
        <f t="shared" si="0"/>
        <v>2</v>
      </c>
      <c r="R51" s="55"/>
      <c r="S51" s="1"/>
      <c r="T51" s="1"/>
      <c r="U51" s="1"/>
      <c r="V51" s="1"/>
      <c r="W51" s="1"/>
      <c r="X51" s="1"/>
      <c r="Y51" s="1"/>
      <c r="Z51" s="1"/>
      <c r="AA51" s="1"/>
    </row>
    <row r="52" spans="1:27" ht="28.5" customHeight="1">
      <c r="A52" s="57" t="s">
        <v>108</v>
      </c>
      <c r="B52" s="3" t="s">
        <v>114</v>
      </c>
      <c r="C52" s="3" t="s">
        <v>45</v>
      </c>
      <c r="D52" s="3" t="s">
        <v>112</v>
      </c>
      <c r="E52" s="17"/>
      <c r="F52" s="10"/>
      <c r="G52" s="10" t="s">
        <v>24</v>
      </c>
      <c r="H52" s="10"/>
      <c r="I52" s="10"/>
      <c r="J52" s="10"/>
      <c r="K52" s="10"/>
      <c r="L52" s="10"/>
      <c r="M52" s="10" t="s">
        <v>24</v>
      </c>
      <c r="N52" s="10"/>
      <c r="O52" s="10"/>
      <c r="P52" s="10"/>
      <c r="Q52" s="3">
        <f t="shared" si="0"/>
        <v>2</v>
      </c>
      <c r="R52" s="55"/>
      <c r="S52" s="1"/>
      <c r="T52" s="1"/>
      <c r="U52" s="1"/>
      <c r="V52" s="1"/>
      <c r="W52" s="1"/>
      <c r="X52" s="1"/>
      <c r="Y52" s="1"/>
      <c r="Z52" s="1"/>
      <c r="AA52" s="1"/>
    </row>
    <row r="53" spans="1:27" ht="28.5" customHeight="1">
      <c r="A53" s="57" t="s">
        <v>108</v>
      </c>
      <c r="B53" s="3" t="s">
        <v>115</v>
      </c>
      <c r="C53" s="3" t="s">
        <v>45</v>
      </c>
      <c r="D53" s="3" t="s">
        <v>116</v>
      </c>
      <c r="E53" s="17"/>
      <c r="F53" s="10"/>
      <c r="G53" s="10"/>
      <c r="H53" s="10"/>
      <c r="I53" s="10" t="s">
        <v>23</v>
      </c>
      <c r="J53" s="10"/>
      <c r="K53" s="10"/>
      <c r="L53" s="10"/>
      <c r="M53" s="10"/>
      <c r="N53" s="10"/>
      <c r="O53" s="10"/>
      <c r="P53" s="10"/>
      <c r="Q53" s="3">
        <f t="shared" si="0"/>
        <v>1</v>
      </c>
      <c r="R53" s="55"/>
      <c r="S53" s="1"/>
      <c r="T53" s="1"/>
      <c r="U53" s="1"/>
      <c r="V53" s="1"/>
      <c r="W53" s="1"/>
      <c r="X53" s="1"/>
      <c r="Y53" s="1"/>
      <c r="Z53" s="1"/>
      <c r="AA53" s="1"/>
    </row>
    <row r="54" spans="1:27" ht="28.5" customHeight="1">
      <c r="A54" s="57" t="s">
        <v>108</v>
      </c>
      <c r="B54" s="3" t="s">
        <v>117</v>
      </c>
      <c r="C54" s="3" t="s">
        <v>45</v>
      </c>
      <c r="D54" s="3" t="s">
        <v>118</v>
      </c>
      <c r="E54" s="17"/>
      <c r="F54" s="10"/>
      <c r="G54" s="10"/>
      <c r="H54" s="10" t="s">
        <v>24</v>
      </c>
      <c r="I54" s="10"/>
      <c r="J54" s="10"/>
      <c r="K54" s="10"/>
      <c r="L54" s="10"/>
      <c r="M54" s="10"/>
      <c r="N54" s="10"/>
      <c r="O54" s="10"/>
      <c r="P54" s="10"/>
      <c r="Q54" s="3">
        <f t="shared" si="0"/>
        <v>1</v>
      </c>
      <c r="R54" s="55"/>
      <c r="S54" s="1"/>
      <c r="T54" s="1"/>
      <c r="U54" s="1"/>
      <c r="V54" s="1"/>
      <c r="W54" s="1"/>
      <c r="X54" s="1"/>
      <c r="Y54" s="1"/>
      <c r="Z54" s="1"/>
      <c r="AA54" s="1"/>
    </row>
    <row r="55" spans="1:27" ht="28.5" customHeight="1">
      <c r="A55" s="57" t="s">
        <v>108</v>
      </c>
      <c r="B55" s="3" t="s">
        <v>75</v>
      </c>
      <c r="C55" s="3" t="s">
        <v>76</v>
      </c>
      <c r="D55" s="3" t="s">
        <v>110</v>
      </c>
      <c r="E55" s="17"/>
      <c r="F55" s="10"/>
      <c r="G55" s="10"/>
      <c r="H55" s="10" t="s">
        <v>24</v>
      </c>
      <c r="I55" s="10"/>
      <c r="J55" s="10"/>
      <c r="K55" s="10"/>
      <c r="L55" s="10"/>
      <c r="M55" s="10"/>
      <c r="N55" s="10" t="s">
        <v>24</v>
      </c>
      <c r="O55" s="10"/>
      <c r="P55" s="10"/>
      <c r="Q55" s="3">
        <f t="shared" si="0"/>
        <v>2</v>
      </c>
      <c r="R55" s="55"/>
      <c r="S55" s="1"/>
      <c r="T55" s="1"/>
      <c r="U55" s="1"/>
      <c r="V55" s="1"/>
      <c r="W55" s="1"/>
      <c r="X55" s="1"/>
      <c r="Y55" s="1"/>
      <c r="Z55" s="1"/>
      <c r="AA55" s="1"/>
    </row>
    <row r="56" spans="1:27" ht="28.5" customHeight="1">
      <c r="A56" s="57" t="s">
        <v>108</v>
      </c>
      <c r="B56" s="3" t="s">
        <v>119</v>
      </c>
      <c r="C56" s="3" t="s">
        <v>120</v>
      </c>
      <c r="D56" s="3" t="s">
        <v>112</v>
      </c>
      <c r="E56" s="17"/>
      <c r="F56" s="10"/>
      <c r="G56" s="10"/>
      <c r="H56" s="10"/>
      <c r="I56" s="10" t="s">
        <v>23</v>
      </c>
      <c r="J56" s="10"/>
      <c r="K56" s="10"/>
      <c r="L56" s="10"/>
      <c r="M56" s="10"/>
      <c r="N56" s="10"/>
      <c r="O56" s="10" t="s">
        <v>24</v>
      </c>
      <c r="P56" s="10"/>
      <c r="Q56" s="3">
        <f t="shared" si="0"/>
        <v>2</v>
      </c>
      <c r="R56" s="55"/>
      <c r="S56" s="1"/>
      <c r="T56" s="1"/>
      <c r="U56" s="1"/>
      <c r="V56" s="1"/>
      <c r="W56" s="1"/>
      <c r="X56" s="1"/>
      <c r="Y56" s="1"/>
      <c r="Z56" s="1"/>
      <c r="AA56" s="1"/>
    </row>
    <row r="57" spans="1:27" ht="28.5" customHeight="1">
      <c r="A57" s="57" t="s">
        <v>108</v>
      </c>
      <c r="B57" s="3" t="s">
        <v>121</v>
      </c>
      <c r="C57" s="3" t="s">
        <v>45</v>
      </c>
      <c r="D57" s="3" t="s">
        <v>112</v>
      </c>
      <c r="E57" s="17"/>
      <c r="F57" s="10"/>
      <c r="G57" s="10"/>
      <c r="H57" s="10"/>
      <c r="I57" s="10"/>
      <c r="J57" s="17" t="s">
        <v>23</v>
      </c>
      <c r="K57" s="10"/>
      <c r="L57" s="10"/>
      <c r="M57" s="10"/>
      <c r="N57" s="10"/>
      <c r="O57" s="10"/>
      <c r="P57" s="10" t="s">
        <v>24</v>
      </c>
      <c r="Q57" s="3">
        <f t="shared" si="0"/>
        <v>2</v>
      </c>
      <c r="R57" s="55"/>
      <c r="S57" s="1"/>
      <c r="T57" s="1"/>
      <c r="U57" s="1"/>
      <c r="V57" s="1"/>
      <c r="W57" s="1"/>
      <c r="X57" s="1"/>
      <c r="Y57" s="1"/>
      <c r="Z57" s="1"/>
      <c r="AA57" s="1"/>
    </row>
    <row r="58" spans="1:27" ht="28.5" customHeight="1" thickBot="1">
      <c r="A58" s="80" t="s">
        <v>98</v>
      </c>
      <c r="B58" s="81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28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28.5" customHeight="1">
      <c r="A60" s="4"/>
      <c r="B60" s="4"/>
      <c r="C60" s="4"/>
      <c r="D60" s="4"/>
      <c r="E60" s="1"/>
      <c r="F60" s="4"/>
      <c r="G60" s="2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28.5" customHeight="1">
      <c r="A61" s="4"/>
      <c r="D61" s="4"/>
      <c r="E61" s="1"/>
      <c r="F61" s="1"/>
      <c r="G61" s="2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28.5" customHeight="1">
      <c r="A62" s="4"/>
      <c r="D62" s="4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28.5" customHeight="1">
      <c r="A63" s="4"/>
      <c r="D63" s="4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28.5" customHeight="1">
      <c r="A64" s="4"/>
      <c r="D64" s="4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28.5" customHeight="1">
      <c r="A65" s="4"/>
      <c r="D65" s="4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28.5" customHeight="1">
      <c r="A66" s="4"/>
      <c r="B66" s="4"/>
      <c r="C66" s="4"/>
      <c r="D66" s="4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28.5" customHeight="1">
      <c r="A67" s="4"/>
      <c r="B67" s="4"/>
      <c r="C67" s="4"/>
      <c r="D67" s="4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28.5" customHeight="1">
      <c r="A68" s="4"/>
      <c r="B68" s="4"/>
      <c r="C68" s="4"/>
      <c r="D68" s="4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28.5" customHeight="1">
      <c r="A69" s="4"/>
      <c r="B69" s="4"/>
      <c r="C69" s="4"/>
      <c r="D69" s="4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28.5" customHeight="1">
      <c r="A70" s="4"/>
      <c r="B70" s="4"/>
      <c r="C70" s="4"/>
      <c r="D70" s="4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28.5" customHeight="1">
      <c r="A71" s="4"/>
      <c r="B71" s="4"/>
      <c r="C71" s="4"/>
      <c r="D71" s="4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28.5" customHeight="1">
      <c r="A72" s="4"/>
      <c r="B72" s="4"/>
      <c r="C72" s="4"/>
      <c r="D72" s="4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28.5" customHeight="1">
      <c r="A73" s="4"/>
      <c r="B73" s="4"/>
      <c r="C73" s="4"/>
      <c r="D73" s="4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28.5" customHeight="1">
      <c r="A74" s="4"/>
      <c r="B74" s="4"/>
      <c r="C74" s="4"/>
      <c r="D74" s="4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28.5" customHeight="1">
      <c r="A75" s="4"/>
      <c r="B75" s="4"/>
      <c r="C75" s="4"/>
      <c r="D75" s="4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28.5" customHeight="1">
      <c r="A76" s="4"/>
      <c r="B76" s="4"/>
      <c r="C76" s="4"/>
      <c r="D76" s="4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28.5" customHeight="1">
      <c r="A77" s="4"/>
      <c r="B77" s="4"/>
      <c r="C77" s="4"/>
      <c r="D77" s="4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28.5" customHeight="1">
      <c r="A78" s="4"/>
      <c r="B78" s="4"/>
      <c r="C78" s="4"/>
      <c r="D78" s="4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28.5" customHeight="1">
      <c r="A79" s="4"/>
      <c r="B79" s="4"/>
      <c r="C79" s="4"/>
      <c r="D79" s="4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28.5" customHeight="1">
      <c r="A80" s="4"/>
      <c r="B80" s="4"/>
      <c r="C80" s="4"/>
      <c r="D80" s="4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28.5" customHeight="1">
      <c r="A81" s="4"/>
      <c r="B81" s="4"/>
      <c r="C81" s="4"/>
      <c r="D81" s="4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28.5" customHeight="1">
      <c r="A82" s="4"/>
      <c r="B82" s="4"/>
      <c r="C82" s="4"/>
      <c r="D82" s="4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28.5" customHeight="1">
      <c r="A83" s="4"/>
      <c r="B83" s="4"/>
      <c r="C83" s="4"/>
      <c r="D83" s="4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28.5" customHeight="1">
      <c r="A84" s="4"/>
      <c r="B84" s="4"/>
      <c r="C84" s="4"/>
      <c r="D84" s="4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28.5" customHeight="1">
      <c r="A85" s="4"/>
      <c r="B85" s="4"/>
      <c r="C85" s="4"/>
      <c r="D85" s="4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28.5" customHeight="1">
      <c r="A86" s="4"/>
      <c r="B86" s="4"/>
      <c r="C86" s="4"/>
      <c r="D86" s="4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28.5" customHeight="1">
      <c r="A87" s="4"/>
      <c r="B87" s="4"/>
      <c r="C87" s="4"/>
      <c r="D87" s="4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28.5" customHeight="1">
      <c r="A88" s="4"/>
      <c r="B88" s="4"/>
      <c r="C88" s="4"/>
      <c r="D88" s="4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28.5" customHeight="1">
      <c r="A89" s="4"/>
      <c r="B89" s="4"/>
      <c r="C89" s="4"/>
      <c r="D89" s="4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28.5" customHeight="1">
      <c r="A90" s="4"/>
      <c r="B90" s="4"/>
      <c r="C90" s="4"/>
      <c r="D90" s="4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28.5" customHeight="1">
      <c r="A91" s="4"/>
      <c r="B91" s="4"/>
      <c r="C91" s="4"/>
      <c r="D91" s="4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28.5" customHeight="1">
      <c r="A92" s="4"/>
      <c r="B92" s="4"/>
      <c r="C92" s="4"/>
      <c r="D92" s="4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28.5" customHeight="1">
      <c r="A93" s="4"/>
      <c r="B93" s="4"/>
      <c r="C93" s="4"/>
      <c r="D93" s="4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28.5" customHeight="1">
      <c r="A94" s="4"/>
      <c r="B94" s="4"/>
      <c r="C94" s="4"/>
      <c r="D94" s="4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28.5" customHeight="1">
      <c r="A95" s="4"/>
      <c r="B95" s="4"/>
      <c r="C95" s="4"/>
      <c r="D95" s="4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28.5" customHeight="1">
      <c r="A96" s="4"/>
      <c r="B96" s="4"/>
      <c r="C96" s="4"/>
      <c r="D96" s="4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28.5" customHeight="1">
      <c r="A97" s="4"/>
      <c r="B97" s="4"/>
      <c r="C97" s="4"/>
      <c r="D97" s="4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28.5" customHeight="1">
      <c r="A98" s="4"/>
      <c r="B98" s="4"/>
      <c r="C98" s="4"/>
      <c r="D98" s="4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28.5" customHeight="1">
      <c r="A99" s="4"/>
      <c r="B99" s="4"/>
      <c r="C99" s="4"/>
      <c r="D99" s="4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28.5" customHeight="1">
      <c r="A100" s="4"/>
      <c r="B100" s="4"/>
      <c r="C100" s="4"/>
      <c r="D100" s="4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28.5" customHeight="1">
      <c r="A101" s="4"/>
      <c r="B101" s="4"/>
      <c r="C101" s="4"/>
      <c r="D101" s="4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28.5" customHeight="1">
      <c r="A102" s="4"/>
      <c r="B102" s="4"/>
      <c r="C102" s="4"/>
      <c r="D102" s="4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28.5" customHeight="1">
      <c r="A103" s="4"/>
      <c r="B103" s="4"/>
      <c r="C103" s="4"/>
      <c r="D103" s="4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28.5" customHeight="1">
      <c r="A104" s="4"/>
      <c r="B104" s="4"/>
      <c r="C104" s="4"/>
      <c r="D104" s="4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28.5" customHeight="1">
      <c r="A105" s="4"/>
      <c r="B105" s="4"/>
      <c r="C105" s="4"/>
      <c r="D105" s="4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28.5" customHeight="1">
      <c r="A106" s="4"/>
      <c r="B106" s="4"/>
      <c r="C106" s="4"/>
      <c r="D106" s="4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28.5" customHeight="1">
      <c r="A107" s="4"/>
      <c r="B107" s="4"/>
      <c r="C107" s="4"/>
      <c r="D107" s="4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28.5" customHeight="1">
      <c r="A108" s="4"/>
      <c r="B108" s="4"/>
      <c r="C108" s="4"/>
      <c r="D108" s="4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28.5" customHeight="1">
      <c r="A109" s="4"/>
      <c r="B109" s="4"/>
      <c r="C109" s="4"/>
      <c r="D109" s="4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28.5" customHeight="1">
      <c r="A110" s="4"/>
      <c r="B110" s="4"/>
      <c r="C110" s="4"/>
      <c r="D110" s="4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28.5" customHeight="1">
      <c r="A111" s="4"/>
      <c r="B111" s="4"/>
      <c r="C111" s="4"/>
      <c r="D111" s="4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28.5" customHeight="1">
      <c r="A112" s="4"/>
      <c r="B112" s="4"/>
      <c r="C112" s="4"/>
      <c r="D112" s="4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28.5" customHeight="1">
      <c r="A113" s="4"/>
      <c r="B113" s="4"/>
      <c r="C113" s="4"/>
      <c r="D113" s="4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28.5" customHeight="1">
      <c r="A114" s="4"/>
      <c r="B114" s="4"/>
      <c r="C114" s="4"/>
      <c r="D114" s="4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28.5" customHeight="1">
      <c r="A115" s="4"/>
      <c r="B115" s="4"/>
      <c r="C115" s="4"/>
      <c r="D115" s="4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28.5" customHeight="1">
      <c r="A116" s="4"/>
      <c r="B116" s="4"/>
      <c r="C116" s="4"/>
      <c r="D116" s="4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28.5" customHeight="1">
      <c r="A117" s="4"/>
      <c r="B117" s="4"/>
      <c r="C117" s="4"/>
      <c r="D117" s="4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28.5" customHeight="1">
      <c r="A118" s="4"/>
      <c r="B118" s="4"/>
      <c r="C118" s="4"/>
      <c r="D118" s="4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28.5" customHeight="1">
      <c r="A119" s="4"/>
      <c r="B119" s="4"/>
      <c r="C119" s="4"/>
      <c r="D119" s="4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28.5" customHeight="1">
      <c r="A120" s="4"/>
      <c r="B120" s="4"/>
      <c r="C120" s="4"/>
      <c r="D120" s="4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28.5" customHeight="1">
      <c r="A121" s="4"/>
      <c r="B121" s="4"/>
      <c r="C121" s="4"/>
      <c r="D121" s="4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28.5" customHeight="1">
      <c r="A122" s="4"/>
      <c r="B122" s="4"/>
      <c r="C122" s="4"/>
      <c r="D122" s="4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28.5" customHeight="1">
      <c r="A123" s="4"/>
      <c r="B123" s="4"/>
      <c r="C123" s="4"/>
      <c r="D123" s="4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28.5" customHeight="1">
      <c r="A124" s="4"/>
      <c r="B124" s="4"/>
      <c r="C124" s="4"/>
      <c r="D124" s="4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28.5" customHeight="1">
      <c r="A125" s="4"/>
      <c r="B125" s="4"/>
      <c r="C125" s="4"/>
      <c r="D125" s="4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28.5" customHeight="1">
      <c r="A126" s="4"/>
      <c r="B126" s="4"/>
      <c r="C126" s="4"/>
      <c r="D126" s="4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28.5" customHeight="1">
      <c r="A127" s="4"/>
      <c r="B127" s="4"/>
      <c r="C127" s="4"/>
      <c r="D127" s="4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28.5" customHeight="1">
      <c r="A128" s="4"/>
      <c r="B128" s="4"/>
      <c r="C128" s="4"/>
      <c r="D128" s="4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28.5" customHeight="1">
      <c r="A129" s="4"/>
      <c r="B129" s="4"/>
      <c r="C129" s="4"/>
      <c r="D129" s="4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28.5" customHeight="1">
      <c r="A130" s="4"/>
      <c r="B130" s="4"/>
      <c r="C130" s="4"/>
      <c r="D130" s="4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28.5" customHeight="1">
      <c r="A131" s="4"/>
      <c r="B131" s="4"/>
      <c r="C131" s="4"/>
      <c r="D131" s="4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28.5" customHeight="1">
      <c r="A132" s="4"/>
      <c r="B132" s="4"/>
      <c r="C132" s="4"/>
      <c r="D132" s="4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28.5" customHeight="1">
      <c r="A133" s="4"/>
      <c r="B133" s="51"/>
      <c r="C133" s="51"/>
      <c r="D133" s="4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28.5" customHeight="1">
      <c r="A134" s="4"/>
      <c r="B134" s="51"/>
      <c r="C134" s="51"/>
      <c r="D134" s="4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28.5" customHeight="1">
      <c r="A135" s="4"/>
      <c r="B135" s="51"/>
      <c r="C135" s="51"/>
      <c r="D135" s="4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28.5" customHeight="1">
      <c r="A136" s="4"/>
      <c r="B136" s="51"/>
      <c r="C136" s="51"/>
      <c r="D136" s="4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28.5" customHeight="1">
      <c r="A137" s="4"/>
      <c r="B137" s="51"/>
      <c r="C137" s="51"/>
      <c r="D137" s="4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28.5" customHeight="1">
      <c r="A138" s="4"/>
      <c r="B138" s="4"/>
      <c r="C138" s="4"/>
      <c r="D138" s="4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28.5" customHeight="1">
      <c r="A139" s="4"/>
      <c r="B139" s="4"/>
      <c r="C139" s="4"/>
      <c r="D139" s="4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28.5" customHeight="1">
      <c r="A140" s="4"/>
      <c r="B140" s="4"/>
      <c r="C140" s="4"/>
      <c r="D140" s="4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28.5" customHeight="1">
      <c r="A141" s="4"/>
      <c r="B141" s="4"/>
      <c r="C141" s="4"/>
      <c r="D141" s="4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28.5" customHeight="1">
      <c r="A142" s="4"/>
      <c r="B142" s="4"/>
      <c r="C142" s="4"/>
      <c r="D142" s="4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28.5" customHeight="1">
      <c r="A143" s="4"/>
      <c r="B143" s="4"/>
      <c r="C143" s="4"/>
      <c r="D143" s="4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28.5" customHeight="1">
      <c r="A144" s="4"/>
      <c r="B144" s="4"/>
      <c r="C144" s="4"/>
      <c r="D144" s="4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28.5" customHeight="1">
      <c r="A145" s="4"/>
      <c r="B145" s="4"/>
      <c r="C145" s="4"/>
      <c r="D145" s="4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28.5" customHeight="1">
      <c r="A146" s="4"/>
      <c r="B146" s="4"/>
      <c r="C146" s="4"/>
      <c r="D146" s="4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28.5" customHeight="1">
      <c r="A147" s="4"/>
      <c r="B147" s="4"/>
      <c r="C147" s="4"/>
      <c r="D147" s="4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28.5" customHeight="1">
      <c r="A148" s="4"/>
      <c r="B148" s="4"/>
      <c r="C148" s="4"/>
      <c r="D148" s="4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28.5" customHeight="1">
      <c r="A149" s="4"/>
      <c r="B149" s="4"/>
      <c r="C149" s="4"/>
      <c r="D149" s="4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28.5" customHeight="1">
      <c r="A150" s="4"/>
      <c r="B150" s="4"/>
      <c r="C150" s="4"/>
      <c r="D150" s="4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28.5" customHeight="1">
      <c r="A151" s="4"/>
      <c r="B151" s="4"/>
      <c r="C151" s="4"/>
      <c r="D151" s="4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28.5" customHeight="1">
      <c r="A152" s="4"/>
      <c r="B152" s="4"/>
      <c r="C152" s="4"/>
      <c r="D152" s="4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28.5" customHeight="1">
      <c r="A153" s="4"/>
      <c r="B153" s="4"/>
      <c r="C153" s="4"/>
      <c r="D153" s="4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28.5" customHeight="1">
      <c r="A154" s="4"/>
      <c r="B154" s="4"/>
      <c r="C154" s="4"/>
      <c r="D154" s="4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28.5" customHeight="1">
      <c r="A155" s="4"/>
      <c r="B155" s="4"/>
      <c r="C155" s="4"/>
      <c r="D155" s="4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28.5" customHeight="1">
      <c r="A156" s="4"/>
      <c r="B156" s="4"/>
      <c r="C156" s="4"/>
      <c r="D156" s="4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28.5" customHeight="1">
      <c r="A157" s="4"/>
      <c r="B157" s="4"/>
      <c r="C157" s="4"/>
      <c r="D157" s="4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28.5" customHeight="1">
      <c r="A158" s="4"/>
      <c r="B158" s="4"/>
      <c r="C158" s="4"/>
      <c r="D158" s="4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28.5" customHeight="1">
      <c r="A159" s="4"/>
      <c r="B159" s="4"/>
      <c r="C159" s="4"/>
      <c r="D159" s="4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28.5" customHeight="1">
      <c r="A160" s="4"/>
      <c r="B160" s="4"/>
      <c r="C160" s="4"/>
      <c r="D160" s="4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28.5" customHeight="1">
      <c r="A161" s="4"/>
      <c r="B161" s="4"/>
      <c r="C161" s="4"/>
      <c r="D161" s="4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28.5" customHeight="1">
      <c r="A162" s="4"/>
      <c r="B162" s="4"/>
      <c r="C162" s="4"/>
      <c r="D162" s="4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28.5" customHeight="1">
      <c r="A163" s="4"/>
      <c r="B163" s="4"/>
      <c r="C163" s="4"/>
      <c r="D163" s="4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28.5" customHeight="1">
      <c r="A164" s="4"/>
      <c r="B164" s="4"/>
      <c r="C164" s="4"/>
      <c r="D164" s="4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28.5" customHeight="1">
      <c r="A165" s="4"/>
      <c r="B165" s="4"/>
      <c r="C165" s="4"/>
      <c r="D165" s="4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28.5" customHeight="1">
      <c r="A166" s="4"/>
      <c r="B166" s="4"/>
      <c r="C166" s="4"/>
      <c r="D166" s="4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28.5" customHeight="1">
      <c r="A167" s="4"/>
      <c r="B167" s="4"/>
      <c r="C167" s="4"/>
      <c r="D167" s="4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28.5" customHeight="1">
      <c r="A168" s="4"/>
      <c r="B168" s="4"/>
      <c r="C168" s="4"/>
      <c r="D168" s="4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28.5" customHeight="1">
      <c r="A169" s="4"/>
      <c r="B169" s="4"/>
      <c r="C169" s="4"/>
      <c r="D169" s="4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28.5" customHeight="1">
      <c r="A170" s="4"/>
      <c r="B170" s="4"/>
      <c r="C170" s="4"/>
      <c r="D170" s="4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28.5" customHeight="1">
      <c r="A171" s="4"/>
      <c r="B171" s="4"/>
      <c r="C171" s="4"/>
      <c r="D171" s="4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28.5" customHeight="1">
      <c r="A172" s="4"/>
      <c r="B172" s="4"/>
      <c r="C172" s="4"/>
      <c r="D172" s="4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28.5" customHeight="1">
      <c r="A173" s="4"/>
      <c r="B173" s="4"/>
      <c r="C173" s="4"/>
      <c r="D173" s="4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28.5" customHeight="1">
      <c r="A174" s="4"/>
      <c r="B174" s="4"/>
      <c r="C174" s="4"/>
      <c r="D174" s="4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28.5" customHeight="1">
      <c r="A175" s="4"/>
      <c r="B175" s="4"/>
      <c r="C175" s="4"/>
      <c r="D175" s="4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28.5" customHeight="1">
      <c r="A176" s="4"/>
      <c r="B176" s="4"/>
      <c r="C176" s="4"/>
      <c r="D176" s="4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28.5" customHeight="1">
      <c r="A177" s="4"/>
      <c r="B177" s="4"/>
      <c r="C177" s="4"/>
      <c r="D177" s="4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28.5" customHeight="1">
      <c r="A178" s="4"/>
      <c r="B178" s="4"/>
      <c r="C178" s="4"/>
      <c r="D178" s="4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28.5" customHeight="1">
      <c r="A179" s="4"/>
      <c r="B179" s="4"/>
      <c r="C179" s="4"/>
      <c r="D179" s="4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28.5" customHeight="1">
      <c r="A180" s="4"/>
      <c r="B180" s="4"/>
      <c r="C180" s="4"/>
      <c r="D180" s="4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28.5" customHeight="1">
      <c r="A181" s="4"/>
      <c r="B181" s="4"/>
      <c r="C181" s="4"/>
      <c r="D181" s="4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28.5" customHeight="1">
      <c r="A182" s="4"/>
      <c r="B182" s="4"/>
      <c r="C182" s="4"/>
      <c r="D182" s="4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28.5" customHeight="1">
      <c r="A183" s="4"/>
      <c r="B183" s="4"/>
      <c r="C183" s="4"/>
      <c r="D183" s="4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28.5" customHeight="1">
      <c r="A184" s="4"/>
      <c r="B184" s="4"/>
      <c r="C184" s="4"/>
      <c r="D184" s="4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28.5" customHeight="1">
      <c r="A185" s="4"/>
      <c r="B185" s="4"/>
      <c r="C185" s="4"/>
      <c r="D185" s="4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28.5" customHeight="1">
      <c r="A186" s="4"/>
      <c r="B186" s="4"/>
      <c r="C186" s="4"/>
      <c r="D186" s="4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28.5" customHeight="1">
      <c r="A187" s="4"/>
      <c r="B187" s="4"/>
      <c r="C187" s="4"/>
      <c r="D187" s="4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28.5" customHeight="1">
      <c r="A188" s="4"/>
      <c r="B188" s="4"/>
      <c r="C188" s="4"/>
      <c r="D188" s="4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28.5" customHeight="1">
      <c r="A189" s="4"/>
      <c r="B189" s="4"/>
      <c r="C189" s="4"/>
      <c r="D189" s="4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28.5" customHeight="1">
      <c r="A190" s="4"/>
      <c r="B190" s="4"/>
      <c r="C190" s="4"/>
      <c r="D190" s="4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28.5" customHeight="1">
      <c r="A191" s="4"/>
      <c r="B191" s="4"/>
      <c r="C191" s="4"/>
      <c r="D191" s="4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28.5" customHeight="1">
      <c r="A192" s="4"/>
      <c r="B192" s="4"/>
      <c r="C192" s="4"/>
      <c r="D192" s="4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28.5" customHeight="1">
      <c r="A193" s="4"/>
      <c r="B193" s="4"/>
      <c r="C193" s="4"/>
      <c r="D193" s="4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28.5" customHeight="1">
      <c r="A194" s="4"/>
      <c r="B194" s="4"/>
      <c r="C194" s="4"/>
      <c r="D194" s="4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28.5" customHeight="1">
      <c r="A195" s="4"/>
      <c r="B195" s="4"/>
      <c r="C195" s="4"/>
      <c r="D195" s="4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28.5" customHeight="1">
      <c r="A196" s="4"/>
      <c r="B196" s="4"/>
      <c r="C196" s="4"/>
      <c r="D196" s="4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28.5" customHeight="1">
      <c r="A197" s="4"/>
      <c r="B197" s="4"/>
      <c r="C197" s="4"/>
      <c r="D197" s="4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28.5" customHeight="1">
      <c r="A198" s="4"/>
      <c r="B198" s="4"/>
      <c r="C198" s="4"/>
      <c r="D198" s="4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28.5" customHeight="1">
      <c r="A199" s="4"/>
      <c r="B199" s="4"/>
      <c r="C199" s="4"/>
      <c r="D199" s="4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28.5" customHeight="1">
      <c r="A200" s="4"/>
      <c r="B200" s="4"/>
      <c r="C200" s="4"/>
      <c r="D200" s="4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28.5" customHeight="1">
      <c r="A201" s="4"/>
      <c r="B201" s="4"/>
      <c r="C201" s="4"/>
      <c r="D201" s="4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28.5" customHeight="1">
      <c r="A202" s="4"/>
      <c r="B202" s="4"/>
      <c r="C202" s="4"/>
      <c r="D202" s="4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28.5" customHeight="1">
      <c r="A203" s="4"/>
      <c r="B203" s="4"/>
      <c r="C203" s="4"/>
      <c r="D203" s="4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28.5" customHeight="1">
      <c r="A204" s="4"/>
      <c r="B204" s="4"/>
      <c r="C204" s="4"/>
      <c r="D204" s="4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28.5" customHeight="1">
      <c r="A205" s="4"/>
      <c r="B205" s="4"/>
      <c r="C205" s="4"/>
      <c r="D205" s="4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28.5" customHeight="1">
      <c r="A206" s="4"/>
      <c r="B206" s="4"/>
      <c r="C206" s="4"/>
      <c r="D206" s="4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28.5" customHeight="1">
      <c r="A207" s="4"/>
      <c r="B207" s="4"/>
      <c r="C207" s="4"/>
      <c r="D207" s="4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28.5" customHeight="1">
      <c r="A208" s="4"/>
      <c r="B208" s="4"/>
      <c r="C208" s="4"/>
      <c r="D208" s="4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28.5" customHeight="1">
      <c r="A209" s="4"/>
      <c r="B209" s="4"/>
      <c r="C209" s="4"/>
      <c r="D209" s="4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28.5" customHeight="1">
      <c r="A210" s="4"/>
      <c r="B210" s="4"/>
      <c r="C210" s="4"/>
      <c r="D210" s="4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28.5" customHeight="1">
      <c r="A211" s="4"/>
      <c r="B211" s="4"/>
      <c r="C211" s="4"/>
      <c r="D211" s="4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28.5" customHeight="1">
      <c r="A212" s="4"/>
      <c r="B212" s="4"/>
      <c r="C212" s="4"/>
      <c r="D212" s="4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28.5" customHeight="1">
      <c r="A213" s="4"/>
      <c r="B213" s="4"/>
      <c r="C213" s="4"/>
      <c r="D213" s="4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28.5" customHeight="1">
      <c r="A214" s="4"/>
      <c r="B214" s="4"/>
      <c r="C214" s="4"/>
      <c r="D214" s="4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28.5" customHeight="1">
      <c r="A215" s="4"/>
      <c r="B215" s="4"/>
      <c r="C215" s="4"/>
      <c r="D215" s="4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28.5" customHeight="1">
      <c r="A216" s="4"/>
      <c r="B216" s="4"/>
      <c r="C216" s="4"/>
      <c r="D216" s="4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28.5" customHeight="1">
      <c r="A217" s="4"/>
      <c r="B217" s="4"/>
      <c r="C217" s="4"/>
      <c r="D217" s="4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28.5" customHeight="1">
      <c r="A218" s="4"/>
      <c r="B218" s="4"/>
      <c r="C218" s="4"/>
      <c r="D218" s="4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28.5" customHeight="1">
      <c r="A219" s="4"/>
      <c r="B219" s="4"/>
      <c r="C219" s="4"/>
      <c r="D219" s="4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28.5" customHeight="1">
      <c r="A220" s="4"/>
      <c r="B220" s="4"/>
      <c r="C220" s="4"/>
      <c r="D220" s="4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28.5" customHeight="1">
      <c r="A221" s="4"/>
      <c r="B221" s="4"/>
      <c r="C221" s="4"/>
      <c r="D221" s="4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28.5" customHeight="1">
      <c r="A222" s="4"/>
      <c r="B222" s="4"/>
      <c r="C222" s="4"/>
      <c r="D222" s="4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28.5" customHeight="1">
      <c r="A223" s="4"/>
      <c r="B223" s="4"/>
      <c r="C223" s="4"/>
      <c r="D223" s="4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28.5" customHeight="1">
      <c r="A224" s="4"/>
      <c r="B224" s="4"/>
      <c r="C224" s="4"/>
      <c r="D224" s="4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28.5" customHeight="1">
      <c r="A225" s="4"/>
      <c r="B225" s="4"/>
      <c r="C225" s="4"/>
      <c r="D225" s="4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28.5" customHeight="1">
      <c r="A226" s="4"/>
      <c r="B226" s="4"/>
      <c r="C226" s="4"/>
      <c r="D226" s="4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28.5" customHeight="1">
      <c r="A227" s="4"/>
      <c r="B227" s="4"/>
      <c r="C227" s="4"/>
      <c r="D227" s="4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28.5" customHeight="1">
      <c r="A228" s="4"/>
      <c r="B228" s="4"/>
      <c r="C228" s="4"/>
      <c r="D228" s="4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28.5" customHeight="1">
      <c r="A229" s="4"/>
      <c r="B229" s="4"/>
      <c r="C229" s="4"/>
      <c r="D229" s="4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28.5" customHeight="1">
      <c r="A230" s="4"/>
      <c r="B230" s="4"/>
      <c r="C230" s="4"/>
      <c r="D230" s="4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28.5" customHeight="1">
      <c r="A231" s="4"/>
      <c r="B231" s="4"/>
      <c r="C231" s="4"/>
      <c r="D231" s="4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28.5" customHeight="1">
      <c r="A232" s="4"/>
      <c r="B232" s="4"/>
      <c r="C232" s="4"/>
      <c r="D232" s="4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28.5" customHeight="1">
      <c r="A233" s="4"/>
      <c r="B233" s="4"/>
      <c r="C233" s="4"/>
      <c r="D233" s="4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28.5" customHeight="1">
      <c r="A234" s="4"/>
      <c r="B234" s="4"/>
      <c r="C234" s="4"/>
      <c r="D234" s="4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28.5" customHeight="1">
      <c r="A235" s="4"/>
      <c r="B235" s="4"/>
      <c r="C235" s="4"/>
      <c r="D235" s="4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28.5" customHeight="1">
      <c r="A236" s="4"/>
      <c r="B236" s="4"/>
      <c r="C236" s="4"/>
      <c r="D236" s="4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28.5" customHeight="1">
      <c r="A237" s="4"/>
      <c r="B237" s="4"/>
      <c r="C237" s="4"/>
      <c r="D237" s="4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28.5" customHeight="1">
      <c r="A238" s="4"/>
      <c r="B238" s="4"/>
      <c r="C238" s="4"/>
      <c r="D238" s="4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28.5" customHeight="1">
      <c r="A239" s="4"/>
      <c r="B239" s="4"/>
      <c r="C239" s="4"/>
      <c r="D239" s="4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28.5" customHeight="1">
      <c r="A240" s="4"/>
      <c r="B240" s="4"/>
      <c r="C240" s="4"/>
      <c r="D240" s="4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28.5" customHeight="1">
      <c r="A241" s="4"/>
      <c r="B241" s="4"/>
      <c r="C241" s="4"/>
      <c r="D241" s="4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28.5" customHeight="1">
      <c r="A242" s="4"/>
      <c r="B242" s="4"/>
      <c r="C242" s="4"/>
      <c r="D242" s="4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28.5" customHeight="1">
      <c r="A243" s="4"/>
      <c r="B243" s="4"/>
      <c r="C243" s="4"/>
      <c r="D243" s="4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28.5" customHeight="1">
      <c r="A244" s="4"/>
      <c r="B244" s="4"/>
      <c r="C244" s="4"/>
      <c r="D244" s="4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28.5" customHeight="1">
      <c r="A245" s="4"/>
      <c r="B245" s="4"/>
      <c r="C245" s="4"/>
      <c r="D245" s="4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28.5" customHeight="1">
      <c r="A246" s="4"/>
      <c r="B246" s="4"/>
      <c r="C246" s="4"/>
      <c r="D246" s="4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28.5" customHeight="1">
      <c r="A247" s="4"/>
      <c r="B247" s="4"/>
      <c r="C247" s="4"/>
      <c r="D247" s="4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28.5" customHeight="1">
      <c r="A248" s="4"/>
      <c r="B248" s="4"/>
      <c r="C248" s="4"/>
      <c r="D248" s="4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28.5" customHeight="1">
      <c r="A249" s="4"/>
      <c r="B249" s="4"/>
      <c r="C249" s="4"/>
      <c r="D249" s="4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28.5" customHeight="1">
      <c r="A250" s="4"/>
      <c r="B250" s="4"/>
      <c r="C250" s="4"/>
      <c r="D250" s="4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28.5" customHeight="1">
      <c r="A251" s="4"/>
      <c r="B251" s="4"/>
      <c r="C251" s="4"/>
      <c r="D251" s="4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28.5" customHeight="1">
      <c r="A252" s="4"/>
      <c r="B252" s="4"/>
      <c r="C252" s="4"/>
      <c r="D252" s="4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28.5" customHeight="1">
      <c r="A253" s="4"/>
      <c r="B253" s="4"/>
      <c r="C253" s="4"/>
      <c r="D253" s="4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28.5" customHeight="1">
      <c r="A254" s="4"/>
      <c r="B254" s="4"/>
      <c r="C254" s="4"/>
      <c r="D254" s="4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28.5" customHeight="1">
      <c r="A255" s="4"/>
      <c r="B255" s="4"/>
      <c r="C255" s="4"/>
      <c r="D255" s="4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28.5" customHeight="1">
      <c r="A256" s="4"/>
      <c r="B256" s="4"/>
      <c r="C256" s="4"/>
      <c r="D256" s="4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28.5" customHeight="1">
      <c r="A257" s="4"/>
      <c r="B257" s="4"/>
      <c r="C257" s="4"/>
      <c r="D257" s="4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28.5" customHeight="1">
      <c r="A258" s="4"/>
      <c r="B258" s="4"/>
      <c r="C258" s="4"/>
      <c r="D258" s="4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.75" customHeight="1"/>
    <row r="260" spans="1:27" ht="15.75" customHeight="1"/>
    <row r="261" spans="1:27" ht="15.75" customHeight="1"/>
    <row r="262" spans="1:27" ht="15.75" customHeight="1"/>
    <row r="263" spans="1:27" ht="15.75" customHeight="1"/>
    <row r="264" spans="1:27" ht="15.75" customHeight="1"/>
    <row r="265" spans="1:27" ht="15.75" customHeight="1"/>
    <row r="266" spans="1:27" ht="15.75" customHeight="1"/>
    <row r="267" spans="1:27" ht="15.75" customHeight="1"/>
    <row r="268" spans="1:27" ht="15.75" customHeight="1"/>
    <row r="269" spans="1:27" ht="15.75" customHeight="1"/>
    <row r="270" spans="1:27" ht="15.75" customHeight="1"/>
    <row r="271" spans="1:27" ht="15.75" customHeight="1"/>
    <row r="272" spans="1:27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autoFilter ref="A5:AA58" xr:uid="{00000000-0001-0000-0000-000000000000}"/>
  <dataConsolidate/>
  <mergeCells count="4">
    <mergeCell ref="A1:A3"/>
    <mergeCell ref="B1:Q3"/>
    <mergeCell ref="A4:P4"/>
    <mergeCell ref="A58:Q58"/>
  </mergeCells>
  <conditionalFormatting sqref="E6:P20 E24:P36 E37:I37 K37:P37 E38:P57">
    <cfRule type="cellIs" dxfId="29" priority="21" stopIfTrue="1" operator="equal">
      <formula>"APLAZADA"</formula>
    </cfRule>
    <cfRule type="cellIs" dxfId="28" priority="22" stopIfTrue="1" operator="equal">
      <formula>"CANCELADA"</formula>
    </cfRule>
    <cfRule type="cellIs" dxfId="27" priority="23" stopIfTrue="1" operator="equal">
      <formula>"REPROGRAMADA"</formula>
    </cfRule>
    <cfRule type="cellIs" dxfId="26" priority="24" stopIfTrue="1" operator="equal">
      <formula>"REALIZADA"</formula>
    </cfRule>
    <cfRule type="cellIs" dxfId="25" priority="25" stopIfTrue="1" operator="equal">
      <formula>"X"</formula>
    </cfRule>
  </conditionalFormatting>
  <conditionalFormatting sqref="F21:H21 F22:F23">
    <cfRule type="cellIs" dxfId="24" priority="16" stopIfTrue="1" operator="equal">
      <formula>"APLAZADA"</formula>
    </cfRule>
    <cfRule type="cellIs" dxfId="23" priority="17" stopIfTrue="1" operator="equal">
      <formula>"CANCELADA"</formula>
    </cfRule>
    <cfRule type="cellIs" dxfId="22" priority="18" stopIfTrue="1" operator="equal">
      <formula>"REPROGRAMADA"</formula>
    </cfRule>
    <cfRule type="cellIs" dxfId="21" priority="19" stopIfTrue="1" operator="equal">
      <formula>"REALIZADA"</formula>
    </cfRule>
    <cfRule type="cellIs" dxfId="20" priority="20" stopIfTrue="1" operator="equal">
      <formula>"X"</formula>
    </cfRule>
  </conditionalFormatting>
  <conditionalFormatting sqref="G23:H23">
    <cfRule type="cellIs" dxfId="19" priority="6" stopIfTrue="1" operator="equal">
      <formula>"APLAZADA"</formula>
    </cfRule>
    <cfRule type="cellIs" dxfId="18" priority="7" stopIfTrue="1" operator="equal">
      <formula>"CANCELADA"</formula>
    </cfRule>
    <cfRule type="cellIs" dxfId="17" priority="8" stopIfTrue="1" operator="equal">
      <formula>"REPROGRAMADA"</formula>
    </cfRule>
    <cfRule type="cellIs" dxfId="16" priority="9" stopIfTrue="1" operator="equal">
      <formula>"REALIZADA"</formula>
    </cfRule>
    <cfRule type="cellIs" dxfId="15" priority="10" stopIfTrue="1" operator="equal">
      <formula>"X"</formula>
    </cfRule>
  </conditionalFormatting>
  <conditionalFormatting sqref="G22:P22">
    <cfRule type="cellIs" dxfId="14" priority="11" stopIfTrue="1" operator="equal">
      <formula>"APLAZADA"</formula>
    </cfRule>
    <cfRule type="cellIs" dxfId="13" priority="12" stopIfTrue="1" operator="equal">
      <formula>"CANCELADA"</formula>
    </cfRule>
    <cfRule type="cellIs" dxfId="12" priority="13" stopIfTrue="1" operator="equal">
      <formula>"REPROGRAMADA"</formula>
    </cfRule>
    <cfRule type="cellIs" dxfId="11" priority="14" stopIfTrue="1" operator="equal">
      <formula>"REALIZADA"</formula>
    </cfRule>
    <cfRule type="cellIs" dxfId="10" priority="15" stopIfTrue="1" operator="equal">
      <formula>"X"</formula>
    </cfRule>
  </conditionalFormatting>
  <conditionalFormatting sqref="J21:N21 P21 E21:E23 J23:N23 P23">
    <cfRule type="cellIs" dxfId="9" priority="31" stopIfTrue="1" operator="equal">
      <formula>"APLAZADA"</formula>
    </cfRule>
    <cfRule type="cellIs" dxfId="8" priority="32" stopIfTrue="1" operator="equal">
      <formula>"CANCELADA"</formula>
    </cfRule>
    <cfRule type="cellIs" dxfId="7" priority="33" stopIfTrue="1" operator="equal">
      <formula>"REPROGRAMADA"</formula>
    </cfRule>
    <cfRule type="cellIs" dxfId="6" priority="34" stopIfTrue="1" operator="equal">
      <formula>"REALIZADA"</formula>
    </cfRule>
    <cfRule type="cellIs" dxfId="5" priority="35" stopIfTrue="1" operator="equal">
      <formula>"X"</formula>
    </cfRule>
  </conditionalFormatting>
  <dataValidations count="2">
    <dataValidation type="list" allowBlank="1" showErrorMessage="1" sqref="E21:H21 P21 J21:N21 P23 J23:N23 E24:P31 K37:P37 E22:P22 E23:H23 E33:P36 E38:P57 E37:I37 E6:P20" xr:uid="{11F23D78-0A22-49BF-BA85-4D1CCA5B1406}">
      <formula1>"X,REALIZADA, REPROGRAMADA,APLAZADA,CANCELADA, SOLICITUD"</formula1>
    </dataValidation>
    <dataValidation type="list" allowBlank="1" showInputMessage="1" showErrorMessage="1" sqref="J130" xr:uid="{029BC484-174D-4A43-8103-BB737E90D073}">
      <formula1>"PROGRAMADA, REPROGRAMADA, CANCELADA, SOLICITUD, APLAZADA"</formula1>
    </dataValidation>
  </dataValidations>
  <printOptions horizontalCentered="1" gridLines="1"/>
  <pageMargins left="0.19685039370078741" right="0.19685039370078741" top="0.39370078740157483" bottom="0.39370078740157483" header="0" footer="0"/>
  <pageSetup scale="26" fitToWidth="0" orientation="landscape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29B7C-E5AD-42BC-9607-FD043DCA9091}">
  <sheetPr filterMode="1">
    <pageSetUpPr fitToPage="1"/>
  </sheetPr>
  <dimension ref="A1:AA987"/>
  <sheetViews>
    <sheetView tabSelected="1" zoomScale="80" zoomScaleNormal="80" workbookViewId="0">
      <pane ySplit="5" topLeftCell="C6" activePane="bottomLeft" state="frozen"/>
      <selection pane="bottomLeft" activeCell="G6" sqref="G6"/>
      <selection activeCell="J1" sqref="J1"/>
    </sheetView>
  </sheetViews>
  <sheetFormatPr defaultColWidth="14.42578125" defaultRowHeight="15" customHeight="1"/>
  <cols>
    <col min="1" max="1" width="36.7109375" style="37" customWidth="1"/>
    <col min="2" max="2" width="32.5703125" style="37" customWidth="1"/>
    <col min="3" max="3" width="32.7109375" style="37" customWidth="1"/>
    <col min="4" max="4" width="19.28515625" style="37" customWidth="1"/>
    <col min="5" max="16" width="13.85546875" customWidth="1"/>
    <col min="17" max="17" width="15.85546875" customWidth="1"/>
    <col min="18" max="27" width="11.42578125" customWidth="1"/>
  </cols>
  <sheetData>
    <row r="1" spans="1:27" ht="28.5" customHeight="1">
      <c r="A1" s="74"/>
      <c r="B1" s="76" t="s">
        <v>0</v>
      </c>
      <c r="C1" s="77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0.25" customHeight="1">
      <c r="A2" s="75"/>
      <c r="B2" s="87"/>
      <c r="C2" s="88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8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23.25" customHeight="1" thickBot="1">
      <c r="A3" s="75"/>
      <c r="B3" s="87"/>
      <c r="C3" s="88"/>
      <c r="D3" s="88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28.5" customHeight="1" thickBot="1">
      <c r="A4" s="78" t="s">
        <v>122</v>
      </c>
      <c r="B4" s="91"/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20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7.25" customHeight="1">
      <c r="A5" s="68" t="s">
        <v>2</v>
      </c>
      <c r="B5" s="68" t="s">
        <v>3</v>
      </c>
      <c r="C5" s="68" t="s">
        <v>4</v>
      </c>
      <c r="D5" s="68" t="s">
        <v>5</v>
      </c>
      <c r="E5" s="13" t="s">
        <v>6</v>
      </c>
      <c r="F5" s="13" t="s">
        <v>7</v>
      </c>
      <c r="G5" s="13" t="s">
        <v>8</v>
      </c>
      <c r="H5" s="14" t="s">
        <v>9</v>
      </c>
      <c r="I5" s="14" t="s">
        <v>10</v>
      </c>
      <c r="J5" s="14" t="s">
        <v>11</v>
      </c>
      <c r="K5" s="14" t="s">
        <v>12</v>
      </c>
      <c r="L5" s="14" t="s">
        <v>13</v>
      </c>
      <c r="M5" s="14" t="s">
        <v>14</v>
      </c>
      <c r="N5" s="14" t="s">
        <v>15</v>
      </c>
      <c r="O5" s="14" t="s">
        <v>16</v>
      </c>
      <c r="P5" s="14" t="s">
        <v>17</v>
      </c>
      <c r="Q5" s="12" t="s">
        <v>18</v>
      </c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28.5" hidden="1" customHeight="1">
      <c r="A6" s="33" t="s">
        <v>19</v>
      </c>
      <c r="B6" s="66" t="s">
        <v>20</v>
      </c>
      <c r="C6" s="66" t="s">
        <v>21</v>
      </c>
      <c r="D6" s="7" t="s">
        <v>100</v>
      </c>
      <c r="E6" s="34"/>
      <c r="F6" s="34"/>
      <c r="G6" s="34" t="s">
        <v>23</v>
      </c>
      <c r="H6" s="34"/>
      <c r="I6" s="34"/>
      <c r="J6" s="34"/>
      <c r="K6" s="34"/>
      <c r="L6" s="30"/>
      <c r="M6" s="34"/>
      <c r="N6" s="34"/>
      <c r="O6" s="34"/>
      <c r="P6" s="34"/>
      <c r="Q6" s="7" t="s">
        <v>123</v>
      </c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28.5" hidden="1" customHeight="1">
      <c r="A7" s="33" t="s">
        <v>19</v>
      </c>
      <c r="B7" s="66" t="s">
        <v>124</v>
      </c>
      <c r="C7" s="66" t="s">
        <v>26</v>
      </c>
      <c r="D7" s="7" t="s">
        <v>125</v>
      </c>
      <c r="E7" s="34"/>
      <c r="F7" s="30"/>
      <c r="G7" s="34"/>
      <c r="H7" s="30"/>
      <c r="I7" s="34" t="s">
        <v>24</v>
      </c>
      <c r="J7" s="34"/>
      <c r="K7" s="34"/>
      <c r="L7" s="34"/>
      <c r="M7" s="34"/>
      <c r="N7" s="34"/>
      <c r="O7" s="34"/>
      <c r="P7" s="34"/>
      <c r="Q7" s="7" t="s">
        <v>123</v>
      </c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28.5" hidden="1" customHeight="1">
      <c r="A8" s="33" t="s">
        <v>19</v>
      </c>
      <c r="B8" s="66" t="s">
        <v>126</v>
      </c>
      <c r="C8" s="67" t="s">
        <v>21</v>
      </c>
      <c r="D8" s="31" t="s">
        <v>88</v>
      </c>
      <c r="E8" s="34" t="s">
        <v>23</v>
      </c>
      <c r="F8" s="34"/>
      <c r="G8" s="34"/>
      <c r="H8" s="34"/>
      <c r="I8" s="34"/>
      <c r="J8" s="30"/>
      <c r="K8" s="34"/>
      <c r="L8" s="34"/>
      <c r="M8" s="34"/>
      <c r="N8" s="34"/>
      <c r="O8" s="34"/>
      <c r="P8" s="34"/>
      <c r="Q8" s="7" t="s">
        <v>123</v>
      </c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28.5" hidden="1" customHeight="1">
      <c r="A9" s="33" t="s">
        <v>19</v>
      </c>
      <c r="B9" s="7" t="s">
        <v>127</v>
      </c>
      <c r="C9" s="7" t="s">
        <v>31</v>
      </c>
      <c r="D9" s="7" t="s">
        <v>32</v>
      </c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7" t="s">
        <v>123</v>
      </c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28.5" hidden="1" customHeight="1">
      <c r="A10" s="33" t="s">
        <v>19</v>
      </c>
      <c r="B10" s="7" t="s">
        <v>37</v>
      </c>
      <c r="C10" s="7" t="s">
        <v>38</v>
      </c>
      <c r="D10" s="7" t="s">
        <v>35</v>
      </c>
      <c r="E10" s="34"/>
      <c r="F10" s="34" t="s">
        <v>23</v>
      </c>
      <c r="G10" s="34"/>
      <c r="H10" s="34"/>
      <c r="I10" s="34" t="s">
        <v>36</v>
      </c>
      <c r="J10" s="34"/>
      <c r="K10" s="34"/>
      <c r="L10" s="34" t="s">
        <v>24</v>
      </c>
      <c r="M10" s="34"/>
      <c r="N10" s="34"/>
      <c r="O10" s="34" t="s">
        <v>36</v>
      </c>
      <c r="P10" s="34"/>
      <c r="Q10" s="7" t="s">
        <v>128</v>
      </c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28.5" customHeight="1">
      <c r="A11" s="33" t="s">
        <v>19</v>
      </c>
      <c r="B11" s="7" t="s">
        <v>40</v>
      </c>
      <c r="C11" s="7" t="s">
        <v>38</v>
      </c>
      <c r="D11" s="7" t="s">
        <v>35</v>
      </c>
      <c r="E11" s="34"/>
      <c r="F11" s="34"/>
      <c r="G11" s="34"/>
      <c r="H11" s="34"/>
      <c r="I11" s="34"/>
      <c r="J11" s="34" t="s">
        <v>23</v>
      </c>
      <c r="K11" s="34"/>
      <c r="L11" s="34"/>
      <c r="M11" s="34"/>
      <c r="N11" s="34"/>
      <c r="O11" s="34"/>
      <c r="P11" s="34" t="s">
        <v>24</v>
      </c>
      <c r="Q11" s="7" t="s">
        <v>128</v>
      </c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28.5" customHeight="1">
      <c r="A12" s="33" t="s">
        <v>19</v>
      </c>
      <c r="B12" s="7" t="s">
        <v>41</v>
      </c>
      <c r="C12" s="7" t="s">
        <v>38</v>
      </c>
      <c r="D12" s="7" t="s">
        <v>35</v>
      </c>
      <c r="E12" s="34"/>
      <c r="F12" s="34"/>
      <c r="G12" s="34"/>
      <c r="H12" s="34"/>
      <c r="I12" s="34"/>
      <c r="J12" s="34" t="s">
        <v>23</v>
      </c>
      <c r="K12" s="34"/>
      <c r="L12" s="34"/>
      <c r="M12" s="34"/>
      <c r="N12" s="34"/>
      <c r="O12" s="34"/>
      <c r="P12" s="34" t="s">
        <v>24</v>
      </c>
      <c r="Q12" s="7" t="s">
        <v>128</v>
      </c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28.5" hidden="1" customHeight="1">
      <c r="A13" s="33" t="s">
        <v>19</v>
      </c>
      <c r="B13" s="7" t="s">
        <v>42</v>
      </c>
      <c r="C13" s="7" t="s">
        <v>43</v>
      </c>
      <c r="D13" s="7" t="s">
        <v>35</v>
      </c>
      <c r="E13" s="34"/>
      <c r="F13" s="34"/>
      <c r="G13" s="34"/>
      <c r="H13" s="34"/>
      <c r="I13" s="34" t="s">
        <v>23</v>
      </c>
      <c r="J13" s="34"/>
      <c r="K13" s="34"/>
      <c r="L13" s="34"/>
      <c r="M13" s="34"/>
      <c r="N13" s="34"/>
      <c r="O13" s="34" t="s">
        <v>24</v>
      </c>
      <c r="P13" s="34"/>
      <c r="Q13" s="7" t="s">
        <v>128</v>
      </c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28.5" customHeight="1">
      <c r="A14" s="33" t="s">
        <v>19</v>
      </c>
      <c r="B14" s="7" t="s">
        <v>44</v>
      </c>
      <c r="C14" s="7" t="s">
        <v>38</v>
      </c>
      <c r="D14" s="7" t="s">
        <v>35</v>
      </c>
      <c r="E14" s="34"/>
      <c r="F14" s="34"/>
      <c r="G14" s="34"/>
      <c r="H14" s="34"/>
      <c r="I14" s="34"/>
      <c r="J14" s="34" t="s">
        <v>23</v>
      </c>
      <c r="K14" s="34"/>
      <c r="L14" s="34"/>
      <c r="M14" s="34"/>
      <c r="N14" s="34"/>
      <c r="O14" s="34"/>
      <c r="P14" s="34" t="s">
        <v>24</v>
      </c>
      <c r="Q14" s="7" t="s">
        <v>128</v>
      </c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28.5" hidden="1" customHeight="1">
      <c r="A15" s="33" t="s">
        <v>19</v>
      </c>
      <c r="B15" s="7" t="s">
        <v>20</v>
      </c>
      <c r="C15" s="7" t="s">
        <v>45</v>
      </c>
      <c r="D15" s="7" t="s">
        <v>35</v>
      </c>
      <c r="E15" s="34"/>
      <c r="F15" s="34"/>
      <c r="G15" s="34" t="s">
        <v>23</v>
      </c>
      <c r="H15" s="34"/>
      <c r="I15" s="34"/>
      <c r="J15" s="34"/>
      <c r="K15" s="34"/>
      <c r="L15" s="30"/>
      <c r="M15" s="34" t="s">
        <v>24</v>
      </c>
      <c r="N15" s="34"/>
      <c r="O15" s="34"/>
      <c r="P15" s="34"/>
      <c r="Q15" s="7" t="s">
        <v>128</v>
      </c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28.5" hidden="1" customHeight="1">
      <c r="A16" s="33" t="s">
        <v>19</v>
      </c>
      <c r="B16" s="7" t="s">
        <v>48</v>
      </c>
      <c r="C16" s="7" t="s">
        <v>38</v>
      </c>
      <c r="D16" s="7" t="s">
        <v>35</v>
      </c>
      <c r="E16" s="34"/>
      <c r="F16" s="34"/>
      <c r="G16" s="34" t="s">
        <v>23</v>
      </c>
      <c r="H16" s="34"/>
      <c r="I16" s="34"/>
      <c r="J16" s="34"/>
      <c r="K16" s="34"/>
      <c r="L16" s="30"/>
      <c r="M16" s="34" t="s">
        <v>24</v>
      </c>
      <c r="N16" s="34"/>
      <c r="O16" s="34"/>
      <c r="P16" s="34"/>
      <c r="Q16" s="7" t="s">
        <v>128</v>
      </c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28.5" hidden="1" customHeight="1">
      <c r="A17" s="33" t="s">
        <v>19</v>
      </c>
      <c r="B17" s="7" t="s">
        <v>49</v>
      </c>
      <c r="C17" s="7" t="s">
        <v>50</v>
      </c>
      <c r="D17" s="7" t="s">
        <v>35</v>
      </c>
      <c r="E17" s="34"/>
      <c r="F17" s="34"/>
      <c r="G17" s="34"/>
      <c r="H17" s="34" t="s">
        <v>23</v>
      </c>
      <c r="I17" s="34"/>
      <c r="J17" s="34"/>
      <c r="K17" s="34"/>
      <c r="L17" s="34"/>
      <c r="M17" s="34"/>
      <c r="N17" s="34" t="s">
        <v>24</v>
      </c>
      <c r="O17" s="34"/>
      <c r="P17" s="34"/>
      <c r="Q17" s="7" t="s">
        <v>128</v>
      </c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28.5" hidden="1" customHeight="1">
      <c r="A18" s="33" t="s">
        <v>19</v>
      </c>
      <c r="B18" s="7" t="s">
        <v>51</v>
      </c>
      <c r="C18" s="7" t="s">
        <v>50</v>
      </c>
      <c r="D18" s="7" t="s">
        <v>35</v>
      </c>
      <c r="E18" s="34"/>
      <c r="F18" s="34"/>
      <c r="G18" s="34"/>
      <c r="H18" s="34" t="s">
        <v>23</v>
      </c>
      <c r="I18" s="34"/>
      <c r="J18" s="34"/>
      <c r="K18" s="34"/>
      <c r="L18" s="34"/>
      <c r="M18" s="34"/>
      <c r="N18" s="34" t="s">
        <v>24</v>
      </c>
      <c r="O18" s="34"/>
      <c r="P18" s="34"/>
      <c r="Q18" s="7" t="s">
        <v>128</v>
      </c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28.5" hidden="1" customHeight="1">
      <c r="A19" s="33" t="s">
        <v>19</v>
      </c>
      <c r="B19" s="31" t="s">
        <v>52</v>
      </c>
      <c r="C19" s="7" t="s">
        <v>50</v>
      </c>
      <c r="D19" s="7" t="s">
        <v>35</v>
      </c>
      <c r="E19" s="34"/>
      <c r="F19" s="34"/>
      <c r="G19" s="34"/>
      <c r="H19" s="34" t="s">
        <v>23</v>
      </c>
      <c r="I19" s="34"/>
      <c r="J19" s="34"/>
      <c r="K19" s="34"/>
      <c r="L19" s="34"/>
      <c r="M19" s="34"/>
      <c r="N19" s="34" t="s">
        <v>24</v>
      </c>
      <c r="O19" s="34"/>
      <c r="P19" s="34"/>
      <c r="Q19" s="7" t="s">
        <v>128</v>
      </c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28.5" hidden="1" customHeight="1">
      <c r="A20" s="33" t="s">
        <v>56</v>
      </c>
      <c r="B20" s="6" t="s">
        <v>57</v>
      </c>
      <c r="C20" s="6" t="s">
        <v>38</v>
      </c>
      <c r="D20" s="6" t="s">
        <v>35</v>
      </c>
      <c r="E20" s="34"/>
      <c r="F20" s="34" t="s">
        <v>23</v>
      </c>
      <c r="G20" s="34"/>
      <c r="H20" s="34"/>
      <c r="I20" s="34"/>
      <c r="J20" s="34"/>
      <c r="K20" s="34"/>
      <c r="L20" s="34" t="s">
        <v>24</v>
      </c>
      <c r="M20" s="34"/>
      <c r="N20" s="34"/>
      <c r="O20" s="30"/>
      <c r="P20" s="34"/>
      <c r="Q20" s="7" t="s">
        <v>128</v>
      </c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26.25" hidden="1" customHeight="1">
      <c r="A21" s="33" t="s">
        <v>56</v>
      </c>
      <c r="B21" s="6" t="s">
        <v>42</v>
      </c>
      <c r="C21" s="6" t="s">
        <v>43</v>
      </c>
      <c r="D21" s="6" t="s">
        <v>35</v>
      </c>
      <c r="E21" s="34"/>
      <c r="F21" s="34" t="s">
        <v>23</v>
      </c>
      <c r="G21" s="34"/>
      <c r="H21" s="34"/>
      <c r="I21" s="34"/>
      <c r="J21" s="34"/>
      <c r="K21" s="34"/>
      <c r="L21" s="34" t="s">
        <v>24</v>
      </c>
      <c r="M21" s="34"/>
      <c r="N21" s="34"/>
      <c r="O21" s="30"/>
      <c r="P21" s="34"/>
      <c r="Q21" s="7" t="s">
        <v>128</v>
      </c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28.5" hidden="1" customHeight="1">
      <c r="A22" s="33" t="s">
        <v>58</v>
      </c>
      <c r="B22" s="6" t="s">
        <v>57</v>
      </c>
      <c r="C22" s="6" t="s">
        <v>38</v>
      </c>
      <c r="D22" s="6" t="s">
        <v>35</v>
      </c>
      <c r="E22" s="34"/>
      <c r="F22" s="34" t="s">
        <v>23</v>
      </c>
      <c r="G22" s="34"/>
      <c r="H22" s="34"/>
      <c r="I22" s="34"/>
      <c r="J22" s="34"/>
      <c r="K22" s="34"/>
      <c r="L22" s="34" t="s">
        <v>24</v>
      </c>
      <c r="M22" s="34"/>
      <c r="N22" s="34"/>
      <c r="O22" s="30"/>
      <c r="P22" s="34"/>
      <c r="Q22" s="7" t="s">
        <v>128</v>
      </c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28.5" hidden="1" customHeight="1">
      <c r="A23" s="33" t="s">
        <v>58</v>
      </c>
      <c r="B23" s="6" t="s">
        <v>42</v>
      </c>
      <c r="C23" s="6" t="s">
        <v>43</v>
      </c>
      <c r="D23" s="6" t="s">
        <v>35</v>
      </c>
      <c r="E23" s="34"/>
      <c r="F23" s="34" t="s">
        <v>23</v>
      </c>
      <c r="G23" s="34"/>
      <c r="H23" s="34"/>
      <c r="I23" s="34"/>
      <c r="J23" s="34"/>
      <c r="K23" s="34"/>
      <c r="L23" s="34" t="s">
        <v>24</v>
      </c>
      <c r="M23" s="34"/>
      <c r="N23" s="34"/>
      <c r="O23" s="30"/>
      <c r="P23" s="34"/>
      <c r="Q23" s="7" t="s">
        <v>128</v>
      </c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28.5" hidden="1" customHeight="1">
      <c r="A24" s="33" t="s">
        <v>60</v>
      </c>
      <c r="B24" s="69" t="s">
        <v>57</v>
      </c>
      <c r="C24" s="69" t="s">
        <v>38</v>
      </c>
      <c r="D24" s="6" t="s">
        <v>35</v>
      </c>
      <c r="E24" s="34"/>
      <c r="F24" s="34"/>
      <c r="G24" s="34" t="s">
        <v>23</v>
      </c>
      <c r="H24" s="34"/>
      <c r="I24" s="30"/>
      <c r="J24" s="34"/>
      <c r="K24" s="34"/>
      <c r="L24" s="34"/>
      <c r="M24" s="34" t="s">
        <v>24</v>
      </c>
      <c r="N24" s="34"/>
      <c r="O24" s="30"/>
      <c r="P24" s="34"/>
      <c r="Q24" s="7" t="s">
        <v>128</v>
      </c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28.5" hidden="1" customHeight="1">
      <c r="A25" s="33" t="s">
        <v>60</v>
      </c>
      <c r="B25" s="66" t="s">
        <v>42</v>
      </c>
      <c r="C25" s="66" t="s">
        <v>43</v>
      </c>
      <c r="D25" s="7" t="s">
        <v>35</v>
      </c>
      <c r="E25" s="34"/>
      <c r="F25" s="30"/>
      <c r="G25" s="34" t="s">
        <v>23</v>
      </c>
      <c r="H25" s="34"/>
      <c r="I25" s="34"/>
      <c r="J25" s="34"/>
      <c r="K25" s="34"/>
      <c r="L25" s="34"/>
      <c r="M25" s="34" t="s">
        <v>24</v>
      </c>
      <c r="N25" s="34"/>
      <c r="O25" s="30"/>
      <c r="P25" s="34"/>
      <c r="Q25" s="7" t="s">
        <v>128</v>
      </c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28.5" hidden="1" customHeight="1">
      <c r="A26" s="33" t="s">
        <v>129</v>
      </c>
      <c r="B26" s="66" t="s">
        <v>62</v>
      </c>
      <c r="C26" s="69" t="s">
        <v>38</v>
      </c>
      <c r="D26" s="7" t="s">
        <v>35</v>
      </c>
      <c r="E26" s="34"/>
      <c r="F26" s="34"/>
      <c r="G26" s="34"/>
      <c r="H26" s="34"/>
      <c r="I26" s="34"/>
      <c r="J26" s="34"/>
      <c r="K26" s="34" t="s">
        <v>24</v>
      </c>
      <c r="L26" s="34"/>
      <c r="M26" s="34"/>
      <c r="N26" s="34"/>
      <c r="O26" s="34"/>
      <c r="P26" s="34"/>
      <c r="Q26" s="7" t="s">
        <v>123</v>
      </c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28.5" hidden="1" customHeight="1">
      <c r="A27" s="33" t="s">
        <v>129</v>
      </c>
      <c r="B27" s="66" t="s">
        <v>49</v>
      </c>
      <c r="C27" s="69" t="s">
        <v>38</v>
      </c>
      <c r="D27" s="7" t="s">
        <v>35</v>
      </c>
      <c r="E27" s="34"/>
      <c r="F27" s="34"/>
      <c r="G27" s="34"/>
      <c r="H27" s="34"/>
      <c r="I27" s="34"/>
      <c r="J27" s="34"/>
      <c r="K27" s="34" t="s">
        <v>24</v>
      </c>
      <c r="L27" s="34"/>
      <c r="M27" s="34"/>
      <c r="N27" s="34"/>
      <c r="O27" s="34"/>
      <c r="P27" s="34"/>
      <c r="Q27" s="7" t="s">
        <v>123</v>
      </c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28.5" hidden="1" customHeight="1">
      <c r="A28" s="33" t="s">
        <v>63</v>
      </c>
      <c r="B28" s="66" t="s">
        <v>37</v>
      </c>
      <c r="C28" s="66" t="s">
        <v>64</v>
      </c>
      <c r="D28" s="7" t="s">
        <v>65</v>
      </c>
      <c r="E28" s="34"/>
      <c r="F28" s="34"/>
      <c r="G28" s="34"/>
      <c r="H28" s="34" t="s">
        <v>24</v>
      </c>
      <c r="I28" s="34"/>
      <c r="J28" s="34"/>
      <c r="K28" s="34"/>
      <c r="L28" s="34"/>
      <c r="M28" s="34"/>
      <c r="N28" s="34"/>
      <c r="O28" s="34"/>
      <c r="P28" s="34"/>
      <c r="Q28" s="7" t="s">
        <v>123</v>
      </c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28.5" hidden="1" customHeight="1">
      <c r="A29" s="33" t="s">
        <v>63</v>
      </c>
      <c r="B29" s="66" t="s">
        <v>66</v>
      </c>
      <c r="C29" s="66" t="s">
        <v>64</v>
      </c>
      <c r="D29" s="7" t="s">
        <v>67</v>
      </c>
      <c r="E29" s="34"/>
      <c r="F29" s="34"/>
      <c r="G29" s="34"/>
      <c r="H29" s="34"/>
      <c r="I29" s="34"/>
      <c r="J29" s="34"/>
      <c r="K29" s="34"/>
      <c r="L29" s="34"/>
      <c r="M29" s="34" t="s">
        <v>24</v>
      </c>
      <c r="N29" s="34"/>
      <c r="O29" s="34"/>
      <c r="P29" s="34"/>
      <c r="Q29" s="7" t="s">
        <v>123</v>
      </c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28.5" hidden="1" customHeight="1">
      <c r="A30" s="33" t="s">
        <v>63</v>
      </c>
      <c r="B30" s="66" t="s">
        <v>68</v>
      </c>
      <c r="C30" s="66" t="s">
        <v>64</v>
      </c>
      <c r="D30" s="7" t="s">
        <v>69</v>
      </c>
      <c r="E30" s="34"/>
      <c r="F30" s="34"/>
      <c r="G30" s="34"/>
      <c r="H30" s="34"/>
      <c r="I30" s="34"/>
      <c r="J30" s="34"/>
      <c r="K30" s="34"/>
      <c r="L30" s="34"/>
      <c r="M30" s="34" t="s">
        <v>24</v>
      </c>
      <c r="N30" s="34"/>
      <c r="O30" s="34"/>
      <c r="P30" s="34"/>
      <c r="Q30" s="7" t="s">
        <v>123</v>
      </c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28.5" hidden="1" customHeight="1">
      <c r="A31" s="33" t="s">
        <v>63</v>
      </c>
      <c r="B31" s="66" t="s">
        <v>70</v>
      </c>
      <c r="C31" s="66" t="s">
        <v>71</v>
      </c>
      <c r="D31" s="7" t="s">
        <v>69</v>
      </c>
      <c r="E31" s="34" t="s">
        <v>23</v>
      </c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0"/>
      <c r="Q31" s="7" t="s">
        <v>123</v>
      </c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28.5" hidden="1" customHeight="1">
      <c r="A32" s="33" t="s">
        <v>63</v>
      </c>
      <c r="B32" s="66" t="s">
        <v>73</v>
      </c>
      <c r="C32" s="66" t="s">
        <v>71</v>
      </c>
      <c r="D32" s="7" t="s">
        <v>69</v>
      </c>
      <c r="E32" s="34" t="s">
        <v>23</v>
      </c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7" t="s">
        <v>123</v>
      </c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28.5" hidden="1" customHeight="1">
      <c r="A33" s="23" t="s">
        <v>63</v>
      </c>
      <c r="B33" s="66" t="s">
        <v>130</v>
      </c>
      <c r="C33" s="66" t="s">
        <v>64</v>
      </c>
      <c r="D33" s="7"/>
      <c r="E33" s="34"/>
      <c r="F33" s="34"/>
      <c r="G33" s="34"/>
      <c r="I33" s="34" t="s">
        <v>24</v>
      </c>
      <c r="J33" s="34"/>
      <c r="K33" s="34"/>
      <c r="L33" s="34"/>
      <c r="M33" s="34"/>
      <c r="N33" s="34"/>
      <c r="O33" s="34"/>
      <c r="P33" s="34"/>
      <c r="Q33" s="7" t="s">
        <v>123</v>
      </c>
      <c r="R33" s="55"/>
      <c r="S33" s="1"/>
      <c r="T33" s="1"/>
      <c r="U33" s="1"/>
      <c r="V33" s="1"/>
      <c r="W33" s="1"/>
      <c r="X33" s="1"/>
      <c r="Y33" s="1"/>
      <c r="Z33" s="1"/>
      <c r="AA33" s="1"/>
    </row>
    <row r="34" spans="1:27" ht="39.75" hidden="1" customHeight="1">
      <c r="A34" s="33" t="s">
        <v>74</v>
      </c>
      <c r="B34" s="66" t="s">
        <v>75</v>
      </c>
      <c r="C34" s="66" t="s">
        <v>76</v>
      </c>
      <c r="D34" s="7" t="s">
        <v>77</v>
      </c>
      <c r="E34" s="34"/>
      <c r="F34" s="34"/>
      <c r="G34" s="34" t="s">
        <v>23</v>
      </c>
      <c r="H34" s="34"/>
      <c r="I34" s="34"/>
      <c r="J34" s="34"/>
      <c r="K34" s="34"/>
      <c r="L34" s="34"/>
      <c r="M34" s="34"/>
      <c r="N34" s="34"/>
      <c r="O34" s="34"/>
      <c r="P34" s="34"/>
      <c r="Q34" s="7" t="s">
        <v>123</v>
      </c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28.5" hidden="1" customHeight="1">
      <c r="A35" s="23" t="s">
        <v>78</v>
      </c>
      <c r="B35" s="7" t="s">
        <v>48</v>
      </c>
      <c r="C35" s="7" t="s">
        <v>78</v>
      </c>
      <c r="D35" s="7" t="s">
        <v>35</v>
      </c>
      <c r="E35" s="34"/>
      <c r="F35" s="34"/>
      <c r="G35" s="30"/>
      <c r="H35" s="34" t="s">
        <v>23</v>
      </c>
      <c r="I35" s="34"/>
      <c r="J35" s="34"/>
      <c r="K35" s="34"/>
      <c r="L35" s="34"/>
      <c r="M35" s="30"/>
      <c r="N35" s="34" t="s">
        <v>24</v>
      </c>
      <c r="O35" s="34"/>
      <c r="P35" s="34"/>
      <c r="Q35" s="7" t="s">
        <v>128</v>
      </c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28.5" hidden="1" customHeight="1">
      <c r="A36" s="33" t="s">
        <v>83</v>
      </c>
      <c r="B36" s="6" t="s">
        <v>131</v>
      </c>
      <c r="C36" s="70" t="s">
        <v>84</v>
      </c>
      <c r="D36" s="7" t="s">
        <v>35</v>
      </c>
      <c r="E36" s="71"/>
      <c r="F36" s="34"/>
      <c r="G36" s="34"/>
      <c r="H36" s="34"/>
      <c r="I36" s="34"/>
      <c r="J36" s="30"/>
      <c r="K36" s="34" t="s">
        <v>24</v>
      </c>
      <c r="L36" s="34"/>
      <c r="M36" s="34"/>
      <c r="N36" s="34"/>
      <c r="O36" s="34"/>
      <c r="P36" s="34"/>
      <c r="Q36" s="7" t="s">
        <v>123</v>
      </c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28.5" hidden="1" customHeight="1">
      <c r="A37" s="33" t="s">
        <v>132</v>
      </c>
      <c r="B37" s="6" t="s">
        <v>133</v>
      </c>
      <c r="C37" s="70" t="s">
        <v>45</v>
      </c>
      <c r="D37" s="7" t="s">
        <v>35</v>
      </c>
      <c r="E37" s="71"/>
      <c r="F37" s="34"/>
      <c r="G37" s="34"/>
      <c r="H37" s="34"/>
      <c r="I37" s="34" t="s">
        <v>24</v>
      </c>
      <c r="J37" s="30"/>
      <c r="K37" s="30"/>
      <c r="L37" s="34"/>
      <c r="M37" s="34"/>
      <c r="N37" s="34"/>
      <c r="O37" s="34" t="s">
        <v>24</v>
      </c>
      <c r="P37" s="34"/>
      <c r="Q37" s="7" t="s">
        <v>128</v>
      </c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28.5" hidden="1" customHeight="1">
      <c r="A38" s="33" t="s">
        <v>85</v>
      </c>
      <c r="B38" s="7" t="s">
        <v>86</v>
      </c>
      <c r="C38" s="7" t="s">
        <v>87</v>
      </c>
      <c r="D38" s="7" t="s">
        <v>88</v>
      </c>
      <c r="E38" s="34"/>
      <c r="F38" s="34"/>
      <c r="G38" s="34"/>
      <c r="H38" s="34"/>
      <c r="I38" s="34"/>
      <c r="J38" s="34"/>
      <c r="K38" s="34"/>
      <c r="L38" s="34" t="s">
        <v>24</v>
      </c>
      <c r="M38" s="34"/>
      <c r="N38" s="34"/>
      <c r="O38" s="34"/>
      <c r="P38" s="34"/>
      <c r="Q38" s="7" t="s">
        <v>123</v>
      </c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28.5" hidden="1" customHeight="1">
      <c r="A39" s="33" t="s">
        <v>85</v>
      </c>
      <c r="B39" s="7" t="s">
        <v>89</v>
      </c>
      <c r="C39" s="7" t="s">
        <v>87</v>
      </c>
      <c r="D39" s="7" t="s">
        <v>88</v>
      </c>
      <c r="E39" s="34"/>
      <c r="F39" s="34"/>
      <c r="G39" s="34"/>
      <c r="H39" s="34"/>
      <c r="I39" s="34"/>
      <c r="J39" s="34"/>
      <c r="K39" s="34"/>
      <c r="L39" s="34" t="s">
        <v>24</v>
      </c>
      <c r="M39" s="34"/>
      <c r="N39" s="34"/>
      <c r="O39" s="34"/>
      <c r="P39" s="34"/>
      <c r="Q39" s="7" t="s">
        <v>123</v>
      </c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28.5" hidden="1" customHeight="1">
      <c r="A40" s="33" t="s">
        <v>85</v>
      </c>
      <c r="B40" s="31" t="s">
        <v>90</v>
      </c>
      <c r="C40" s="7" t="s">
        <v>91</v>
      </c>
      <c r="D40" s="7" t="s">
        <v>92</v>
      </c>
      <c r="E40" s="34"/>
      <c r="F40" s="34"/>
      <c r="G40" s="34"/>
      <c r="H40" s="34"/>
      <c r="I40" s="34"/>
      <c r="J40" s="34"/>
      <c r="K40" s="34"/>
      <c r="L40" s="34"/>
      <c r="M40" s="34"/>
      <c r="N40" s="34" t="s">
        <v>24</v>
      </c>
      <c r="O40" s="34"/>
      <c r="P40" s="34"/>
      <c r="Q40" s="7" t="s">
        <v>123</v>
      </c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28.5" hidden="1" customHeight="1">
      <c r="A41" s="23" t="s">
        <v>93</v>
      </c>
      <c r="B41" s="7" t="s">
        <v>94</v>
      </c>
      <c r="C41" s="7" t="s">
        <v>93</v>
      </c>
      <c r="D41" s="7" t="s">
        <v>35</v>
      </c>
      <c r="E41" s="34"/>
      <c r="F41" s="34"/>
      <c r="G41" s="34"/>
      <c r="H41" s="34" t="s">
        <v>23</v>
      </c>
      <c r="I41" s="34"/>
      <c r="J41" s="34"/>
      <c r="K41" s="34"/>
      <c r="L41" s="34"/>
      <c r="M41" s="34"/>
      <c r="N41" s="34"/>
      <c r="O41" s="34"/>
      <c r="P41" s="34"/>
      <c r="Q41" s="7" t="s">
        <v>123</v>
      </c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28.5" hidden="1" customHeight="1">
      <c r="A42" s="23" t="s">
        <v>93</v>
      </c>
      <c r="B42" s="7" t="s">
        <v>95</v>
      </c>
      <c r="C42" s="7" t="s">
        <v>93</v>
      </c>
      <c r="D42" s="7" t="s">
        <v>35</v>
      </c>
      <c r="E42" s="34"/>
      <c r="F42" s="34"/>
      <c r="G42" s="34"/>
      <c r="H42" s="34"/>
      <c r="I42" s="34"/>
      <c r="J42" s="34"/>
      <c r="K42" s="34" t="s">
        <v>24</v>
      </c>
      <c r="L42" s="34"/>
      <c r="M42" s="34"/>
      <c r="N42" s="34"/>
      <c r="O42" s="34"/>
      <c r="P42" s="34"/>
      <c r="Q42" s="7" t="s">
        <v>123</v>
      </c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28.5" hidden="1" customHeight="1">
      <c r="A43" s="23" t="s">
        <v>93</v>
      </c>
      <c r="B43" s="7" t="s">
        <v>96</v>
      </c>
      <c r="C43" s="7" t="s">
        <v>93</v>
      </c>
      <c r="D43" s="7" t="s">
        <v>97</v>
      </c>
      <c r="E43" s="34"/>
      <c r="F43" s="34"/>
      <c r="G43" s="34"/>
      <c r="H43" s="34"/>
      <c r="I43" s="34"/>
      <c r="J43" s="34"/>
      <c r="K43" s="34"/>
      <c r="L43" s="34"/>
      <c r="M43" s="34" t="s">
        <v>24</v>
      </c>
      <c r="N43" s="34"/>
      <c r="O43" s="34"/>
      <c r="P43" s="34"/>
      <c r="Q43" s="7" t="s">
        <v>123</v>
      </c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28.5" hidden="1" customHeight="1">
      <c r="A44" s="23" t="s">
        <v>19</v>
      </c>
      <c r="B44" s="7" t="s">
        <v>103</v>
      </c>
      <c r="C44" s="7" t="s">
        <v>45</v>
      </c>
      <c r="D44" s="7" t="s">
        <v>105</v>
      </c>
      <c r="E44" s="34"/>
      <c r="F44" s="34"/>
      <c r="G44" s="34"/>
      <c r="H44" s="34"/>
      <c r="I44" s="34"/>
      <c r="K44" s="34"/>
      <c r="L44" s="34"/>
      <c r="M44" s="34"/>
      <c r="N44" s="34"/>
      <c r="O44" s="34"/>
      <c r="P44" s="34" t="s">
        <v>24</v>
      </c>
      <c r="Q44" s="7" t="s">
        <v>123</v>
      </c>
      <c r="R44" s="55"/>
      <c r="S44" s="1"/>
      <c r="T44" s="1"/>
      <c r="U44" s="1"/>
      <c r="V44" s="1"/>
      <c r="W44" s="1"/>
      <c r="X44" s="1"/>
      <c r="Y44" s="1"/>
      <c r="Z44" s="1"/>
      <c r="AA44" s="1"/>
    </row>
    <row r="45" spans="1:27" ht="28.5" hidden="1" customHeight="1">
      <c r="A45" s="23" t="s">
        <v>19</v>
      </c>
      <c r="B45" s="7" t="s">
        <v>52</v>
      </c>
      <c r="C45" s="7" t="s">
        <v>31</v>
      </c>
      <c r="D45" s="7" t="s">
        <v>92</v>
      </c>
      <c r="E45" s="34"/>
      <c r="F45" s="34"/>
      <c r="G45" s="34"/>
      <c r="H45" s="34" t="s">
        <v>23</v>
      </c>
      <c r="I45" s="34"/>
      <c r="J45" s="34"/>
      <c r="K45" s="34"/>
      <c r="L45" s="34"/>
      <c r="M45" s="34"/>
      <c r="N45" s="34"/>
      <c r="O45" s="34"/>
      <c r="P45" s="34"/>
      <c r="Q45" s="7" t="s">
        <v>123</v>
      </c>
      <c r="R45" s="55"/>
      <c r="S45" s="1"/>
      <c r="T45" s="1"/>
      <c r="U45" s="1"/>
      <c r="V45" s="1"/>
      <c r="W45" s="1"/>
      <c r="X45" s="1"/>
      <c r="Y45" s="1"/>
      <c r="Z45" s="1"/>
      <c r="AA45" s="1"/>
    </row>
    <row r="46" spans="1:27" ht="28.5" hidden="1" customHeight="1">
      <c r="A46" s="23" t="s">
        <v>106</v>
      </c>
      <c r="B46" s="66" t="s">
        <v>107</v>
      </c>
      <c r="C46" s="66" t="s">
        <v>45</v>
      </c>
      <c r="D46" s="7" t="s">
        <v>35</v>
      </c>
      <c r="E46" s="34"/>
      <c r="F46" s="34"/>
      <c r="G46" s="34" t="s">
        <v>24</v>
      </c>
      <c r="H46" s="34"/>
      <c r="I46" s="72"/>
      <c r="J46" s="34"/>
      <c r="K46" s="34"/>
      <c r="L46" s="34"/>
      <c r="M46" s="34" t="s">
        <v>24</v>
      </c>
      <c r="N46" s="34"/>
      <c r="O46" s="34"/>
      <c r="P46" s="34"/>
      <c r="Q46" s="7" t="s">
        <v>128</v>
      </c>
      <c r="R46" s="55"/>
      <c r="S46" s="1"/>
      <c r="T46" s="1"/>
      <c r="U46" s="1"/>
      <c r="V46" s="1"/>
      <c r="W46" s="1"/>
      <c r="X46" s="1"/>
      <c r="Y46" s="1"/>
      <c r="Z46" s="1"/>
      <c r="AA46" s="1"/>
    </row>
    <row r="47" spans="1:27" ht="28.5" hidden="1" customHeight="1">
      <c r="A47" s="79" t="s">
        <v>98</v>
      </c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28.5" hidden="1" customHeight="1">
      <c r="A48" s="7"/>
      <c r="B48" s="7"/>
      <c r="C48" s="7"/>
      <c r="D48" s="7"/>
      <c r="E48" s="7">
        <f t="shared" ref="E48:P48" si="0">COUNTA(E6:E46)</f>
        <v>3</v>
      </c>
      <c r="F48" s="7">
        <f t="shared" si="0"/>
        <v>5</v>
      </c>
      <c r="G48" s="7">
        <f t="shared" si="0"/>
        <v>7</v>
      </c>
      <c r="H48" s="7">
        <f t="shared" si="0"/>
        <v>7</v>
      </c>
      <c r="I48" s="7">
        <f t="shared" si="0"/>
        <v>5</v>
      </c>
      <c r="J48" s="7">
        <f t="shared" si="0"/>
        <v>3</v>
      </c>
      <c r="K48" s="7">
        <f t="shared" si="0"/>
        <v>4</v>
      </c>
      <c r="L48" s="7">
        <f t="shared" si="0"/>
        <v>7</v>
      </c>
      <c r="M48" s="7">
        <f t="shared" si="0"/>
        <v>8</v>
      </c>
      <c r="N48" s="7">
        <f t="shared" si="0"/>
        <v>5</v>
      </c>
      <c r="O48" s="7">
        <f t="shared" si="0"/>
        <v>3</v>
      </c>
      <c r="P48" s="7">
        <f t="shared" si="0"/>
        <v>4</v>
      </c>
      <c r="Q48" s="73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28.5" customHeight="1">
      <c r="A49" s="4"/>
      <c r="B49" s="4"/>
      <c r="C49" s="4"/>
      <c r="D49" s="4"/>
      <c r="E49" s="1"/>
      <c r="F49" s="4"/>
      <c r="G49" s="2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28.5" customHeight="1">
      <c r="A50" s="4"/>
      <c r="D50" s="4"/>
      <c r="E50" s="1"/>
      <c r="F50" s="1"/>
      <c r="G50" s="2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28.5" customHeight="1">
      <c r="A51" s="4"/>
      <c r="D51" s="4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28.5" customHeight="1">
      <c r="A52" s="4"/>
      <c r="D52" s="4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28.5" customHeight="1">
      <c r="A53" s="4"/>
      <c r="D53" s="4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28.5" customHeight="1">
      <c r="A54" s="4"/>
      <c r="D54" s="4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28.5" customHeight="1">
      <c r="A55" s="4"/>
      <c r="B55" s="4"/>
      <c r="C55" s="4"/>
      <c r="D55" s="4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28.5" customHeight="1">
      <c r="A56" s="4"/>
      <c r="B56" s="4"/>
      <c r="C56" s="4"/>
      <c r="D56" s="4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28.5" customHeight="1">
      <c r="A57" s="4"/>
      <c r="B57" s="4"/>
      <c r="C57" s="4"/>
      <c r="D57" s="4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28.5" customHeight="1">
      <c r="A58" s="4"/>
      <c r="B58" s="4"/>
      <c r="C58" s="4"/>
      <c r="D58" s="4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28.5" customHeight="1">
      <c r="A59" s="4"/>
      <c r="B59" s="4"/>
      <c r="C59" s="4"/>
      <c r="D59" s="4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28.5" customHeight="1">
      <c r="A60" s="4"/>
      <c r="B60" s="4"/>
      <c r="C60" s="4"/>
      <c r="D60" s="4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28.5" customHeight="1">
      <c r="A61" s="4"/>
      <c r="B61" s="4"/>
      <c r="C61" s="4"/>
      <c r="D61" s="4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28.5" customHeight="1">
      <c r="A62" s="4"/>
      <c r="B62" s="4"/>
      <c r="C62" s="4"/>
      <c r="D62" s="4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28.5" customHeight="1">
      <c r="A63" s="4"/>
      <c r="B63" s="4"/>
      <c r="C63" s="4"/>
      <c r="D63" s="4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28.5" customHeight="1">
      <c r="A64" s="4"/>
      <c r="B64" s="4"/>
      <c r="C64" s="4"/>
      <c r="D64" s="4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28.5" customHeight="1">
      <c r="A65" s="4"/>
      <c r="B65" s="4"/>
      <c r="C65" s="4"/>
      <c r="D65" s="4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28.5" customHeight="1">
      <c r="A66" s="4"/>
      <c r="B66" s="4"/>
      <c r="C66" s="4"/>
      <c r="D66" s="4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28.5" customHeight="1">
      <c r="A67" s="4"/>
      <c r="B67" s="4"/>
      <c r="C67" s="4"/>
      <c r="D67" s="4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28.5" customHeight="1">
      <c r="A68" s="4"/>
      <c r="B68" s="4"/>
      <c r="C68" s="4"/>
      <c r="D68" s="4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28.5" customHeight="1">
      <c r="A69" s="4"/>
      <c r="B69" s="4"/>
      <c r="C69" s="4"/>
      <c r="D69" s="4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28.5" customHeight="1">
      <c r="A70" s="4"/>
      <c r="B70" s="4"/>
      <c r="C70" s="4"/>
      <c r="D70" s="4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28.5" customHeight="1">
      <c r="A71" s="4"/>
      <c r="B71" s="4"/>
      <c r="C71" s="4"/>
      <c r="D71" s="4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28.5" customHeight="1">
      <c r="A72" s="4"/>
      <c r="B72" s="4"/>
      <c r="C72" s="4"/>
      <c r="D72" s="4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28.5" customHeight="1">
      <c r="A73" s="4"/>
      <c r="B73" s="4"/>
      <c r="C73" s="4"/>
      <c r="D73" s="4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28.5" customHeight="1">
      <c r="A74" s="4"/>
      <c r="B74" s="4"/>
      <c r="C74" s="4"/>
      <c r="D74" s="4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28.5" customHeight="1">
      <c r="A75" s="4"/>
      <c r="B75" s="4"/>
      <c r="C75" s="4"/>
      <c r="D75" s="4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28.5" customHeight="1">
      <c r="A76" s="4"/>
      <c r="B76" s="4"/>
      <c r="C76" s="4"/>
      <c r="D76" s="4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28.5" customHeight="1">
      <c r="A77" s="4"/>
      <c r="B77" s="4"/>
      <c r="C77" s="4"/>
      <c r="D77" s="4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28.5" customHeight="1">
      <c r="A78" s="4"/>
      <c r="B78" s="4"/>
      <c r="C78" s="4"/>
      <c r="D78" s="4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28.5" customHeight="1">
      <c r="A79" s="4"/>
      <c r="B79" s="4"/>
      <c r="C79" s="4"/>
      <c r="D79" s="4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28.5" customHeight="1">
      <c r="A80" s="4"/>
      <c r="B80" s="4"/>
      <c r="C80" s="4"/>
      <c r="D80" s="4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28.5" customHeight="1">
      <c r="A81" s="4"/>
      <c r="B81" s="4"/>
      <c r="C81" s="4"/>
      <c r="D81" s="4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28.5" customHeight="1">
      <c r="A82" s="4"/>
      <c r="B82" s="4"/>
      <c r="C82" s="4"/>
      <c r="D82" s="4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28.5" customHeight="1">
      <c r="A83" s="4"/>
      <c r="B83" s="4"/>
      <c r="C83" s="4"/>
      <c r="D83" s="4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28.5" customHeight="1">
      <c r="A84" s="4"/>
      <c r="B84" s="4"/>
      <c r="C84" s="4"/>
      <c r="D84" s="4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28.5" customHeight="1">
      <c r="A85" s="4"/>
      <c r="B85" s="4"/>
      <c r="C85" s="4"/>
      <c r="D85" s="4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28.5" customHeight="1">
      <c r="A86" s="4"/>
      <c r="B86" s="4"/>
      <c r="C86" s="4"/>
      <c r="D86" s="4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28.5" customHeight="1">
      <c r="A87" s="4"/>
      <c r="B87" s="4"/>
      <c r="C87" s="4"/>
      <c r="D87" s="4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28.5" customHeight="1">
      <c r="A88" s="4"/>
      <c r="B88" s="4"/>
      <c r="C88" s="4"/>
      <c r="D88" s="4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28.5" customHeight="1">
      <c r="A89" s="4"/>
      <c r="B89" s="4"/>
      <c r="C89" s="4"/>
      <c r="D89" s="4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28.5" customHeight="1">
      <c r="A90" s="4"/>
      <c r="B90" s="4"/>
      <c r="C90" s="4"/>
      <c r="D90" s="4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28.5" customHeight="1">
      <c r="A91" s="4"/>
      <c r="B91" s="4"/>
      <c r="C91" s="4"/>
      <c r="D91" s="4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28.5" customHeight="1">
      <c r="A92" s="4"/>
      <c r="B92" s="4"/>
      <c r="C92" s="4"/>
      <c r="D92" s="4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28.5" customHeight="1">
      <c r="A93" s="4"/>
      <c r="B93" s="4"/>
      <c r="C93" s="4"/>
      <c r="D93" s="4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28.5" customHeight="1">
      <c r="A94" s="4"/>
      <c r="B94" s="4"/>
      <c r="C94" s="4"/>
      <c r="D94" s="4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28.5" customHeight="1">
      <c r="A95" s="4"/>
      <c r="B95" s="4"/>
      <c r="C95" s="4"/>
      <c r="D95" s="4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28.5" customHeight="1">
      <c r="A96" s="4"/>
      <c r="B96" s="4"/>
      <c r="C96" s="4"/>
      <c r="D96" s="4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28.5" customHeight="1">
      <c r="A97" s="4"/>
      <c r="B97" s="4"/>
      <c r="C97" s="4"/>
      <c r="D97" s="4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28.5" customHeight="1">
      <c r="A98" s="4"/>
      <c r="B98" s="4"/>
      <c r="C98" s="4"/>
      <c r="D98" s="4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28.5" customHeight="1">
      <c r="A99" s="4"/>
      <c r="B99" s="4"/>
      <c r="C99" s="4"/>
      <c r="D99" s="4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28.5" customHeight="1">
      <c r="A100" s="4"/>
      <c r="B100" s="4"/>
      <c r="C100" s="4"/>
      <c r="D100" s="4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28.5" customHeight="1">
      <c r="A101" s="4"/>
      <c r="B101" s="4"/>
      <c r="C101" s="4"/>
      <c r="D101" s="4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28.5" customHeight="1">
      <c r="A102" s="4"/>
      <c r="B102" s="4"/>
      <c r="C102" s="4"/>
      <c r="D102" s="4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28.5" customHeight="1">
      <c r="A103" s="4"/>
      <c r="B103" s="4"/>
      <c r="C103" s="4"/>
      <c r="D103" s="4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28.5" customHeight="1">
      <c r="A104" s="4"/>
      <c r="B104" s="4"/>
      <c r="C104" s="4"/>
      <c r="D104" s="4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28.5" customHeight="1">
      <c r="A105" s="4"/>
      <c r="B105" s="4"/>
      <c r="C105" s="4"/>
      <c r="D105" s="4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28.5" customHeight="1">
      <c r="A106" s="4"/>
      <c r="B106" s="4"/>
      <c r="C106" s="4"/>
      <c r="D106" s="4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28.5" customHeight="1">
      <c r="A107" s="4"/>
      <c r="B107" s="4"/>
      <c r="C107" s="4"/>
      <c r="D107" s="4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28.5" customHeight="1">
      <c r="A108" s="4"/>
      <c r="B108" s="4"/>
      <c r="C108" s="4"/>
      <c r="D108" s="4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28.5" customHeight="1">
      <c r="A109" s="4"/>
      <c r="B109" s="4"/>
      <c r="C109" s="4"/>
      <c r="D109" s="4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28.5" customHeight="1">
      <c r="A110" s="4"/>
      <c r="B110" s="4"/>
      <c r="C110" s="4"/>
      <c r="D110" s="4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28.5" customHeight="1">
      <c r="A111" s="4"/>
      <c r="B111" s="4"/>
      <c r="C111" s="4"/>
      <c r="D111" s="4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28.5" customHeight="1">
      <c r="A112" s="4"/>
      <c r="B112" s="4"/>
      <c r="C112" s="4"/>
      <c r="D112" s="4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28.5" customHeight="1">
      <c r="A113" s="4"/>
      <c r="B113" s="4"/>
      <c r="C113" s="4"/>
      <c r="D113" s="4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28.5" customHeight="1">
      <c r="A114" s="4"/>
      <c r="B114" s="4"/>
      <c r="C114" s="4"/>
      <c r="D114" s="4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28.5" customHeight="1">
      <c r="A115" s="4"/>
      <c r="B115" s="4"/>
      <c r="C115" s="4"/>
      <c r="D115" s="4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28.5" customHeight="1">
      <c r="A116" s="4"/>
      <c r="B116" s="4"/>
      <c r="C116" s="4"/>
      <c r="D116" s="4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28.5" customHeight="1">
      <c r="A117" s="4"/>
      <c r="B117" s="4"/>
      <c r="C117" s="4"/>
      <c r="D117" s="4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28.5" customHeight="1">
      <c r="A118" s="4"/>
      <c r="B118" s="4"/>
      <c r="C118" s="4"/>
      <c r="D118" s="4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28.5" customHeight="1">
      <c r="A119" s="4"/>
      <c r="B119" s="4"/>
      <c r="C119" s="4"/>
      <c r="D119" s="4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28.5" customHeight="1">
      <c r="A120" s="4"/>
      <c r="B120" s="4"/>
      <c r="C120" s="4"/>
      <c r="D120" s="4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28.5" customHeight="1">
      <c r="A121" s="4"/>
      <c r="B121" s="4"/>
      <c r="C121" s="4"/>
      <c r="D121" s="4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28.5" customHeight="1">
      <c r="A122" s="4"/>
      <c r="B122" s="51"/>
      <c r="C122" s="51"/>
      <c r="D122" s="4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28.5" customHeight="1">
      <c r="A123" s="4"/>
      <c r="B123" s="51"/>
      <c r="C123" s="51"/>
      <c r="D123" s="4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28.5" customHeight="1">
      <c r="A124" s="4"/>
      <c r="B124" s="51"/>
      <c r="C124" s="51"/>
      <c r="D124" s="4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28.5" customHeight="1">
      <c r="A125" s="4"/>
      <c r="B125" s="51"/>
      <c r="C125" s="51"/>
      <c r="D125" s="4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28.5" customHeight="1">
      <c r="A126" s="4"/>
      <c r="B126" s="51"/>
      <c r="C126" s="51"/>
      <c r="D126" s="4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28.5" customHeight="1">
      <c r="A127" s="4"/>
      <c r="B127" s="4"/>
      <c r="C127" s="4"/>
      <c r="D127" s="4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28.5" customHeight="1">
      <c r="A128" s="4"/>
      <c r="B128" s="4"/>
      <c r="C128" s="4"/>
      <c r="D128" s="4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28.5" customHeight="1">
      <c r="A129" s="4"/>
      <c r="B129" s="4"/>
      <c r="C129" s="4"/>
      <c r="D129" s="4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28.5" customHeight="1">
      <c r="A130" s="4"/>
      <c r="B130" s="4"/>
      <c r="C130" s="4"/>
      <c r="D130" s="4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28.5" customHeight="1">
      <c r="A131" s="4"/>
      <c r="B131" s="4"/>
      <c r="C131" s="4"/>
      <c r="D131" s="4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28.5" customHeight="1">
      <c r="A132" s="4"/>
      <c r="B132" s="4"/>
      <c r="C132" s="4"/>
      <c r="D132" s="4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28.5" customHeight="1">
      <c r="A133" s="4"/>
      <c r="B133" s="4"/>
      <c r="C133" s="4"/>
      <c r="D133" s="4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28.5" customHeight="1">
      <c r="A134" s="4"/>
      <c r="B134" s="4"/>
      <c r="C134" s="4"/>
      <c r="D134" s="4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28.5" customHeight="1">
      <c r="A135" s="4"/>
      <c r="B135" s="4"/>
      <c r="C135" s="4"/>
      <c r="D135" s="4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28.5" customHeight="1">
      <c r="A136" s="4"/>
      <c r="B136" s="4"/>
      <c r="C136" s="4"/>
      <c r="D136" s="4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28.5" customHeight="1">
      <c r="A137" s="4"/>
      <c r="B137" s="4"/>
      <c r="C137" s="4"/>
      <c r="D137" s="4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28.5" customHeight="1">
      <c r="A138" s="4"/>
      <c r="B138" s="4"/>
      <c r="C138" s="4"/>
      <c r="D138" s="4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28.5" customHeight="1">
      <c r="A139" s="4"/>
      <c r="B139" s="4"/>
      <c r="C139" s="4"/>
      <c r="D139" s="4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28.5" customHeight="1">
      <c r="A140" s="4"/>
      <c r="B140" s="4"/>
      <c r="C140" s="4"/>
      <c r="D140" s="4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28.5" customHeight="1">
      <c r="A141" s="4"/>
      <c r="B141" s="4"/>
      <c r="C141" s="4"/>
      <c r="D141" s="4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28.5" customHeight="1">
      <c r="A142" s="4"/>
      <c r="B142" s="4"/>
      <c r="C142" s="4"/>
      <c r="D142" s="4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28.5" customHeight="1">
      <c r="A143" s="4"/>
      <c r="B143" s="4"/>
      <c r="C143" s="4"/>
      <c r="D143" s="4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28.5" customHeight="1">
      <c r="A144" s="4"/>
      <c r="B144" s="4"/>
      <c r="C144" s="4"/>
      <c r="D144" s="4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28.5" customHeight="1">
      <c r="A145" s="4"/>
      <c r="B145" s="4"/>
      <c r="C145" s="4"/>
      <c r="D145" s="4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28.5" customHeight="1">
      <c r="A146" s="4"/>
      <c r="B146" s="4"/>
      <c r="C146" s="4"/>
      <c r="D146" s="4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28.5" customHeight="1">
      <c r="A147" s="4"/>
      <c r="B147" s="4"/>
      <c r="C147" s="4"/>
      <c r="D147" s="4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28.5" customHeight="1">
      <c r="A148" s="4"/>
      <c r="B148" s="4"/>
      <c r="C148" s="4"/>
      <c r="D148" s="4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28.5" customHeight="1">
      <c r="A149" s="4"/>
      <c r="B149" s="4"/>
      <c r="C149" s="4"/>
      <c r="D149" s="4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28.5" customHeight="1">
      <c r="A150" s="4"/>
      <c r="B150" s="4"/>
      <c r="C150" s="4"/>
      <c r="D150" s="4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28.5" customHeight="1">
      <c r="A151" s="4"/>
      <c r="B151" s="4"/>
      <c r="C151" s="4"/>
      <c r="D151" s="4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28.5" customHeight="1">
      <c r="A152" s="4"/>
      <c r="B152" s="4"/>
      <c r="C152" s="4"/>
      <c r="D152" s="4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28.5" customHeight="1">
      <c r="A153" s="4"/>
      <c r="B153" s="4"/>
      <c r="C153" s="4"/>
      <c r="D153" s="4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28.5" customHeight="1">
      <c r="A154" s="4"/>
      <c r="B154" s="4"/>
      <c r="C154" s="4"/>
      <c r="D154" s="4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28.5" customHeight="1">
      <c r="A155" s="4"/>
      <c r="B155" s="4"/>
      <c r="C155" s="4"/>
      <c r="D155" s="4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28.5" customHeight="1">
      <c r="A156" s="4"/>
      <c r="B156" s="4"/>
      <c r="C156" s="4"/>
      <c r="D156" s="4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28.5" customHeight="1">
      <c r="A157" s="4"/>
      <c r="B157" s="4"/>
      <c r="C157" s="4"/>
      <c r="D157" s="4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28.5" customHeight="1">
      <c r="A158" s="4"/>
      <c r="B158" s="4"/>
      <c r="C158" s="4"/>
      <c r="D158" s="4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28.5" customHeight="1">
      <c r="A159" s="4"/>
      <c r="B159" s="4"/>
      <c r="C159" s="4"/>
      <c r="D159" s="4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28.5" customHeight="1">
      <c r="A160" s="4"/>
      <c r="B160" s="4"/>
      <c r="C160" s="4"/>
      <c r="D160" s="4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28.5" customHeight="1">
      <c r="A161" s="4"/>
      <c r="B161" s="4"/>
      <c r="C161" s="4"/>
      <c r="D161" s="4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28.5" customHeight="1">
      <c r="A162" s="4"/>
      <c r="B162" s="4"/>
      <c r="C162" s="4"/>
      <c r="D162" s="4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28.5" customHeight="1">
      <c r="A163" s="4"/>
      <c r="B163" s="4"/>
      <c r="C163" s="4"/>
      <c r="D163" s="4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28.5" customHeight="1">
      <c r="A164" s="4"/>
      <c r="B164" s="4"/>
      <c r="C164" s="4"/>
      <c r="D164" s="4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28.5" customHeight="1">
      <c r="A165" s="4"/>
      <c r="B165" s="4"/>
      <c r="C165" s="4"/>
      <c r="D165" s="4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28.5" customHeight="1">
      <c r="A166" s="4"/>
      <c r="B166" s="4"/>
      <c r="C166" s="4"/>
      <c r="D166" s="4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28.5" customHeight="1">
      <c r="A167" s="4"/>
      <c r="B167" s="4"/>
      <c r="C167" s="4"/>
      <c r="D167" s="4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28.5" customHeight="1">
      <c r="A168" s="4"/>
      <c r="B168" s="4"/>
      <c r="C168" s="4"/>
      <c r="D168" s="4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28.5" customHeight="1">
      <c r="A169" s="4"/>
      <c r="B169" s="4"/>
      <c r="C169" s="4"/>
      <c r="D169" s="4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28.5" customHeight="1">
      <c r="A170" s="4"/>
      <c r="B170" s="4"/>
      <c r="C170" s="4"/>
      <c r="D170" s="4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28.5" customHeight="1">
      <c r="A171" s="4"/>
      <c r="B171" s="4"/>
      <c r="C171" s="4"/>
      <c r="D171" s="4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28.5" customHeight="1">
      <c r="A172" s="4"/>
      <c r="B172" s="4"/>
      <c r="C172" s="4"/>
      <c r="D172" s="4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28.5" customHeight="1">
      <c r="A173" s="4"/>
      <c r="B173" s="4"/>
      <c r="C173" s="4"/>
      <c r="D173" s="4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28.5" customHeight="1">
      <c r="A174" s="4"/>
      <c r="B174" s="4"/>
      <c r="C174" s="4"/>
      <c r="D174" s="4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28.5" customHeight="1">
      <c r="A175" s="4"/>
      <c r="B175" s="4"/>
      <c r="C175" s="4"/>
      <c r="D175" s="4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28.5" customHeight="1">
      <c r="A176" s="4"/>
      <c r="B176" s="4"/>
      <c r="C176" s="4"/>
      <c r="D176" s="4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28.5" customHeight="1">
      <c r="A177" s="4"/>
      <c r="B177" s="4"/>
      <c r="C177" s="4"/>
      <c r="D177" s="4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28.5" customHeight="1">
      <c r="A178" s="4"/>
      <c r="B178" s="4"/>
      <c r="C178" s="4"/>
      <c r="D178" s="4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28.5" customHeight="1">
      <c r="A179" s="4"/>
      <c r="B179" s="4"/>
      <c r="C179" s="4"/>
      <c r="D179" s="4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28.5" customHeight="1">
      <c r="A180" s="4"/>
      <c r="B180" s="4"/>
      <c r="C180" s="4"/>
      <c r="D180" s="4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28.5" customHeight="1">
      <c r="A181" s="4"/>
      <c r="B181" s="4"/>
      <c r="C181" s="4"/>
      <c r="D181" s="4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28.5" customHeight="1">
      <c r="A182" s="4"/>
      <c r="B182" s="4"/>
      <c r="C182" s="4"/>
      <c r="D182" s="4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28.5" customHeight="1">
      <c r="A183" s="4"/>
      <c r="B183" s="4"/>
      <c r="C183" s="4"/>
      <c r="D183" s="4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28.5" customHeight="1">
      <c r="A184" s="4"/>
      <c r="B184" s="4"/>
      <c r="C184" s="4"/>
      <c r="D184" s="4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28.5" customHeight="1">
      <c r="A185" s="4"/>
      <c r="B185" s="4"/>
      <c r="C185" s="4"/>
      <c r="D185" s="4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28.5" customHeight="1">
      <c r="A186" s="4"/>
      <c r="B186" s="4"/>
      <c r="C186" s="4"/>
      <c r="D186" s="4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28.5" customHeight="1">
      <c r="A187" s="4"/>
      <c r="B187" s="4"/>
      <c r="C187" s="4"/>
      <c r="D187" s="4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28.5" customHeight="1">
      <c r="A188" s="4"/>
      <c r="B188" s="4"/>
      <c r="C188" s="4"/>
      <c r="D188" s="4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28.5" customHeight="1">
      <c r="A189" s="4"/>
      <c r="B189" s="4"/>
      <c r="C189" s="4"/>
      <c r="D189" s="4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28.5" customHeight="1">
      <c r="A190" s="4"/>
      <c r="B190" s="4"/>
      <c r="C190" s="4"/>
      <c r="D190" s="4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28.5" customHeight="1">
      <c r="A191" s="4"/>
      <c r="B191" s="4"/>
      <c r="C191" s="4"/>
      <c r="D191" s="4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28.5" customHeight="1">
      <c r="A192" s="4"/>
      <c r="B192" s="4"/>
      <c r="C192" s="4"/>
      <c r="D192" s="4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28.5" customHeight="1">
      <c r="A193" s="4"/>
      <c r="B193" s="4"/>
      <c r="C193" s="4"/>
      <c r="D193" s="4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28.5" customHeight="1">
      <c r="A194" s="4"/>
      <c r="B194" s="4"/>
      <c r="C194" s="4"/>
      <c r="D194" s="4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28.5" customHeight="1">
      <c r="A195" s="4"/>
      <c r="B195" s="4"/>
      <c r="C195" s="4"/>
      <c r="D195" s="4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28.5" customHeight="1">
      <c r="A196" s="4"/>
      <c r="B196" s="4"/>
      <c r="C196" s="4"/>
      <c r="D196" s="4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28.5" customHeight="1">
      <c r="A197" s="4"/>
      <c r="B197" s="4"/>
      <c r="C197" s="4"/>
      <c r="D197" s="4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28.5" customHeight="1">
      <c r="A198" s="4"/>
      <c r="B198" s="4"/>
      <c r="C198" s="4"/>
      <c r="D198" s="4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28.5" customHeight="1">
      <c r="A199" s="4"/>
      <c r="B199" s="4"/>
      <c r="C199" s="4"/>
      <c r="D199" s="4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28.5" customHeight="1">
      <c r="A200" s="4"/>
      <c r="B200" s="4"/>
      <c r="C200" s="4"/>
      <c r="D200" s="4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28.5" customHeight="1">
      <c r="A201" s="4"/>
      <c r="B201" s="4"/>
      <c r="C201" s="4"/>
      <c r="D201" s="4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28.5" customHeight="1">
      <c r="A202" s="4"/>
      <c r="B202" s="4"/>
      <c r="C202" s="4"/>
      <c r="D202" s="4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28.5" customHeight="1">
      <c r="A203" s="4"/>
      <c r="B203" s="4"/>
      <c r="C203" s="4"/>
      <c r="D203" s="4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28.5" customHeight="1">
      <c r="A204" s="4"/>
      <c r="B204" s="4"/>
      <c r="C204" s="4"/>
      <c r="D204" s="4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28.5" customHeight="1">
      <c r="A205" s="4"/>
      <c r="B205" s="4"/>
      <c r="C205" s="4"/>
      <c r="D205" s="4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28.5" customHeight="1">
      <c r="A206" s="4"/>
      <c r="B206" s="4"/>
      <c r="C206" s="4"/>
      <c r="D206" s="4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28.5" customHeight="1">
      <c r="A207" s="4"/>
      <c r="B207" s="4"/>
      <c r="C207" s="4"/>
      <c r="D207" s="4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28.5" customHeight="1">
      <c r="A208" s="4"/>
      <c r="B208" s="4"/>
      <c r="C208" s="4"/>
      <c r="D208" s="4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28.5" customHeight="1">
      <c r="A209" s="4"/>
      <c r="B209" s="4"/>
      <c r="C209" s="4"/>
      <c r="D209" s="4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28.5" customHeight="1">
      <c r="A210" s="4"/>
      <c r="B210" s="4"/>
      <c r="C210" s="4"/>
      <c r="D210" s="4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28.5" customHeight="1">
      <c r="A211" s="4"/>
      <c r="B211" s="4"/>
      <c r="C211" s="4"/>
      <c r="D211" s="4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28.5" customHeight="1">
      <c r="A212" s="4"/>
      <c r="B212" s="4"/>
      <c r="C212" s="4"/>
      <c r="D212" s="4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28.5" customHeight="1">
      <c r="A213" s="4"/>
      <c r="B213" s="4"/>
      <c r="C213" s="4"/>
      <c r="D213" s="4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28.5" customHeight="1">
      <c r="A214" s="4"/>
      <c r="B214" s="4"/>
      <c r="C214" s="4"/>
      <c r="D214" s="4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28.5" customHeight="1">
      <c r="A215" s="4"/>
      <c r="B215" s="4"/>
      <c r="C215" s="4"/>
      <c r="D215" s="4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28.5" customHeight="1">
      <c r="A216" s="4"/>
      <c r="B216" s="4"/>
      <c r="C216" s="4"/>
      <c r="D216" s="4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28.5" customHeight="1">
      <c r="A217" s="4"/>
      <c r="B217" s="4"/>
      <c r="C217" s="4"/>
      <c r="D217" s="4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28.5" customHeight="1">
      <c r="A218" s="4"/>
      <c r="B218" s="4"/>
      <c r="C218" s="4"/>
      <c r="D218" s="4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28.5" customHeight="1">
      <c r="A219" s="4"/>
      <c r="B219" s="4"/>
      <c r="C219" s="4"/>
      <c r="D219" s="4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28.5" customHeight="1">
      <c r="A220" s="4"/>
      <c r="B220" s="4"/>
      <c r="C220" s="4"/>
      <c r="D220" s="4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28.5" customHeight="1">
      <c r="A221" s="4"/>
      <c r="B221" s="4"/>
      <c r="C221" s="4"/>
      <c r="D221" s="4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28.5" customHeight="1">
      <c r="A222" s="4"/>
      <c r="B222" s="4"/>
      <c r="C222" s="4"/>
      <c r="D222" s="4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28.5" customHeight="1">
      <c r="A223" s="4"/>
      <c r="B223" s="4"/>
      <c r="C223" s="4"/>
      <c r="D223" s="4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28.5" customHeight="1">
      <c r="A224" s="4"/>
      <c r="B224" s="4"/>
      <c r="C224" s="4"/>
      <c r="D224" s="4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28.5" customHeight="1">
      <c r="A225" s="4"/>
      <c r="B225" s="4"/>
      <c r="C225" s="4"/>
      <c r="D225" s="4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28.5" customHeight="1">
      <c r="A226" s="4"/>
      <c r="B226" s="4"/>
      <c r="C226" s="4"/>
      <c r="D226" s="4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28.5" customHeight="1">
      <c r="A227" s="4"/>
      <c r="B227" s="4"/>
      <c r="C227" s="4"/>
      <c r="D227" s="4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28.5" customHeight="1">
      <c r="A228" s="4"/>
      <c r="B228" s="4"/>
      <c r="C228" s="4"/>
      <c r="D228" s="4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28.5" customHeight="1">
      <c r="A229" s="4"/>
      <c r="B229" s="4"/>
      <c r="C229" s="4"/>
      <c r="D229" s="4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28.5" customHeight="1">
      <c r="A230" s="4"/>
      <c r="B230" s="4"/>
      <c r="C230" s="4"/>
      <c r="D230" s="4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28.5" customHeight="1">
      <c r="A231" s="4"/>
      <c r="B231" s="4"/>
      <c r="C231" s="4"/>
      <c r="D231" s="4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28.5" customHeight="1">
      <c r="A232" s="4"/>
      <c r="B232" s="4"/>
      <c r="C232" s="4"/>
      <c r="D232" s="4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28.5" customHeight="1">
      <c r="A233" s="4"/>
      <c r="B233" s="4"/>
      <c r="C233" s="4"/>
      <c r="D233" s="4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28.5" customHeight="1">
      <c r="A234" s="4"/>
      <c r="B234" s="4"/>
      <c r="C234" s="4"/>
      <c r="D234" s="4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28.5" customHeight="1">
      <c r="A235" s="4"/>
      <c r="B235" s="4"/>
      <c r="C235" s="4"/>
      <c r="D235" s="4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28.5" customHeight="1">
      <c r="A236" s="4"/>
      <c r="B236" s="4"/>
      <c r="C236" s="4"/>
      <c r="D236" s="4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28.5" customHeight="1">
      <c r="A237" s="4"/>
      <c r="B237" s="4"/>
      <c r="C237" s="4"/>
      <c r="D237" s="4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28.5" customHeight="1">
      <c r="A238" s="4"/>
      <c r="B238" s="4"/>
      <c r="C238" s="4"/>
      <c r="D238" s="4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28.5" customHeight="1">
      <c r="A239" s="4"/>
      <c r="B239" s="4"/>
      <c r="C239" s="4"/>
      <c r="D239" s="4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28.5" customHeight="1">
      <c r="A240" s="4"/>
      <c r="B240" s="4"/>
      <c r="C240" s="4"/>
      <c r="D240" s="4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28.5" customHeight="1">
      <c r="A241" s="4"/>
      <c r="B241" s="4"/>
      <c r="C241" s="4"/>
      <c r="D241" s="4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28.5" customHeight="1">
      <c r="A242" s="4"/>
      <c r="B242" s="4"/>
      <c r="C242" s="4"/>
      <c r="D242" s="4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28.5" customHeight="1">
      <c r="A243" s="4"/>
      <c r="B243" s="4"/>
      <c r="C243" s="4"/>
      <c r="D243" s="4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28.5" customHeight="1">
      <c r="A244" s="4"/>
      <c r="B244" s="4"/>
      <c r="C244" s="4"/>
      <c r="D244" s="4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28.5" customHeight="1">
      <c r="A245" s="4"/>
      <c r="B245" s="4"/>
      <c r="C245" s="4"/>
      <c r="D245" s="4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28.5" customHeight="1">
      <c r="A246" s="4"/>
      <c r="B246" s="4"/>
      <c r="C246" s="4"/>
      <c r="D246" s="4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28.5" customHeight="1">
      <c r="A247" s="4"/>
      <c r="B247" s="4"/>
      <c r="C247" s="4"/>
      <c r="D247" s="4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.75" customHeight="1"/>
    <row r="249" spans="1:27" ht="15.75" customHeight="1"/>
    <row r="250" spans="1:27" ht="15.75" customHeight="1"/>
    <row r="251" spans="1:27" ht="15.75" customHeight="1"/>
    <row r="252" spans="1:27" ht="15.75" customHeight="1"/>
    <row r="253" spans="1:27" ht="15.75" customHeight="1"/>
    <row r="254" spans="1:27" ht="15.75" customHeight="1"/>
    <row r="255" spans="1:27" ht="15.75" customHeight="1"/>
    <row r="256" spans="1:27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autoFilter ref="A5:AA48" xr:uid="{E9429B7C-E5AD-42BC-9607-FD043DCA9091}">
    <filterColumn colId="9">
      <filters>
        <filter val="REALIZADA"/>
      </filters>
    </filterColumn>
  </autoFilter>
  <dataConsolidate/>
  <mergeCells count="4">
    <mergeCell ref="A1:A3"/>
    <mergeCell ref="B1:Q3"/>
    <mergeCell ref="A4:P4"/>
    <mergeCell ref="A47:Q47"/>
  </mergeCells>
  <conditionalFormatting sqref="E6:K6 M6:P6 E7 G7 I7:P7 E8:I8 K8:P8 E9:P14 E15:K16 M15:P16 E17:P19 E20:N23 P20:P25 E24:H24 J24:N24 E25 G25:N25 E26:P30 E31:O31 E32:P32 E33:G33 I33:P33 E34:P34 E35:F35 H35:L35 N35:P35 K36:P36 E36:I37 L37:P37 E38:P43 E45:P46 E44:I44 K44:P44">
    <cfRule type="cellIs" dxfId="4" priority="21" stopIfTrue="1" operator="equal">
      <formula>"APLAZADA"</formula>
    </cfRule>
    <cfRule type="cellIs" dxfId="3" priority="22" stopIfTrue="1" operator="equal">
      <formula>"CANCELADA"</formula>
    </cfRule>
    <cfRule type="cellIs" dxfId="2" priority="23" stopIfTrue="1" operator="equal">
      <formula>"REPROGRAMADA"</formula>
    </cfRule>
    <cfRule type="cellIs" dxfId="1" priority="24" stopIfTrue="1" operator="equal">
      <formula>"REALIZADA"</formula>
    </cfRule>
    <cfRule type="cellIs" dxfId="0" priority="25" stopIfTrue="1" operator="equal">
      <formula>"X"</formula>
    </cfRule>
  </conditionalFormatting>
  <dataValidations count="2">
    <dataValidation type="list" allowBlank="1" showInputMessage="1" showErrorMessage="1" sqref="J119" xr:uid="{72B3337F-52CD-4A49-AEAF-6AA0944BB896}">
      <formula1>"PROGRAMADA, REPROGRAMADA, CANCELADA, SOLICITUD, APLAZADA"</formula1>
    </dataValidation>
    <dataValidation type="list" allowBlank="1" showErrorMessage="1" sqref="N35:P35 E8:I8 K8:P8 M6:P6 E6:K6 E25 E24:H24 J24:N24 G25:N25 I7:P7 E7 G7 E35:F35 E9:P14 E15:K16 M15:P16 E17:P19 P20:P25 E20:N23 E26:P30 E31:O31 H35:L35 E36:I37 K36:P36 L37:P37 E34:P34 E33:G33 I33:P33 E38:P43 E45:P46 E44:I44 K44:P44" xr:uid="{BFAE0A65-F86B-48DD-9340-59F9B9888600}">
      <formula1>"X,REALIZADA, REPROGRAMADA,APLAZADA,CANCELADA, SOLICITUD"</formula1>
    </dataValidation>
  </dataValidations>
  <printOptions horizontalCentered="1" gridLines="1"/>
  <pageMargins left="0.19685039370078741" right="0.19685039370078741" top="0.39370078740157483" bottom="0.39370078740157483" header="0" footer="0"/>
  <pageSetup fitToWidth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AD9E1-2E8E-4747-9999-8981C6346F20}">
  <dimension ref="D2:H21"/>
  <sheetViews>
    <sheetView workbookViewId="0">
      <selection activeCell="L17" sqref="L17"/>
    </sheetView>
  </sheetViews>
  <sheetFormatPr defaultColWidth="11.42578125" defaultRowHeight="12.75"/>
  <cols>
    <col min="4" max="4" width="21.42578125" bestFit="1" customWidth="1"/>
    <col min="5" max="5" width="19.140625" customWidth="1"/>
    <col min="6" max="6" width="20" customWidth="1"/>
    <col min="7" max="7" width="11.140625" bestFit="1" customWidth="1"/>
    <col min="8" max="8" width="19.28515625" customWidth="1"/>
  </cols>
  <sheetData>
    <row r="2" spans="4:8">
      <c r="D2" s="61"/>
      <c r="E2" s="61"/>
      <c r="F2" s="61"/>
      <c r="G2" s="61"/>
      <c r="H2" s="61"/>
    </row>
    <row r="3" spans="4:8">
      <c r="D3" s="61"/>
      <c r="E3" s="83" t="s">
        <v>134</v>
      </c>
      <c r="F3" s="84"/>
      <c r="G3" s="85"/>
      <c r="H3" s="61"/>
    </row>
    <row r="4" spans="4:8">
      <c r="D4" s="61"/>
      <c r="E4" s="62" t="s">
        <v>135</v>
      </c>
      <c r="F4" s="62" t="s">
        <v>136</v>
      </c>
      <c r="G4" s="62" t="s">
        <v>137</v>
      </c>
      <c r="H4" s="61"/>
    </row>
    <row r="5" spans="4:8">
      <c r="D5" s="61"/>
      <c r="E5" s="63">
        <v>4</v>
      </c>
      <c r="F5" s="63">
        <v>4</v>
      </c>
      <c r="G5" s="64">
        <f>E5/F5</f>
        <v>1</v>
      </c>
      <c r="H5" s="61"/>
    </row>
    <row r="6" spans="4:8">
      <c r="D6" s="61"/>
      <c r="E6" s="61"/>
      <c r="F6" s="61"/>
      <c r="G6" s="61"/>
      <c r="H6" s="61"/>
    </row>
    <row r="7" spans="4:8">
      <c r="D7" s="82" t="s">
        <v>138</v>
      </c>
      <c r="E7" s="82"/>
      <c r="F7" s="82"/>
      <c r="G7" s="82"/>
      <c r="H7" s="82"/>
    </row>
    <row r="8" spans="4:8">
      <c r="D8" s="62" t="s">
        <v>139</v>
      </c>
      <c r="E8" s="62" t="s">
        <v>140</v>
      </c>
      <c r="F8" s="62" t="s">
        <v>141</v>
      </c>
      <c r="G8" s="62" t="s">
        <v>142</v>
      </c>
      <c r="H8" s="62" t="s">
        <v>137</v>
      </c>
    </row>
    <row r="9" spans="4:8">
      <c r="D9" s="7" t="s">
        <v>28</v>
      </c>
      <c r="E9" s="11" t="s">
        <v>19</v>
      </c>
      <c r="F9" s="63"/>
      <c r="G9" s="63"/>
      <c r="H9" s="63" t="e">
        <f>G9/F9</f>
        <v>#DIV/0!</v>
      </c>
    </row>
    <row r="10" spans="4:8">
      <c r="D10" s="7" t="s">
        <v>40</v>
      </c>
      <c r="E10" s="11" t="s">
        <v>19</v>
      </c>
      <c r="F10" s="63">
        <v>18</v>
      </c>
      <c r="G10" s="63">
        <v>18</v>
      </c>
      <c r="H10" s="63">
        <f t="shared" ref="H10:H12" si="0">G10/F10</f>
        <v>1</v>
      </c>
    </row>
    <row r="11" spans="4:8">
      <c r="D11" s="7" t="s">
        <v>41</v>
      </c>
      <c r="E11" s="11" t="s">
        <v>19</v>
      </c>
      <c r="F11" s="63">
        <v>18</v>
      </c>
      <c r="G11" s="63">
        <v>18</v>
      </c>
      <c r="H11" s="63">
        <f t="shared" si="0"/>
        <v>1</v>
      </c>
    </row>
    <row r="12" spans="4:8">
      <c r="D12" s="7" t="s">
        <v>44</v>
      </c>
      <c r="E12" s="11" t="s">
        <v>19</v>
      </c>
      <c r="F12" s="63">
        <v>18</v>
      </c>
      <c r="G12" s="63">
        <v>18</v>
      </c>
      <c r="H12" s="63">
        <f t="shared" si="0"/>
        <v>1</v>
      </c>
    </row>
    <row r="13" spans="4:8">
      <c r="D13" s="61"/>
      <c r="E13" s="61"/>
      <c r="F13" s="61"/>
      <c r="G13" s="61"/>
      <c r="H13" s="61"/>
    </row>
    <row r="14" spans="4:8">
      <c r="D14" s="61"/>
      <c r="E14" s="61"/>
      <c r="F14" s="61"/>
      <c r="G14" s="61"/>
      <c r="H14" s="61"/>
    </row>
    <row r="15" spans="4:8">
      <c r="D15" s="82" t="s">
        <v>143</v>
      </c>
      <c r="E15" s="82"/>
      <c r="F15" s="82"/>
      <c r="G15" s="82"/>
      <c r="H15" s="82"/>
    </row>
    <row r="16" spans="4:8">
      <c r="D16" s="62" t="s">
        <v>139</v>
      </c>
      <c r="E16" s="62" t="s">
        <v>140</v>
      </c>
      <c r="F16" s="62" t="s">
        <v>141</v>
      </c>
      <c r="G16" s="62" t="s">
        <v>142</v>
      </c>
      <c r="H16" s="62" t="s">
        <v>137</v>
      </c>
    </row>
    <row r="17" spans="4:8">
      <c r="D17" s="63">
        <v>0</v>
      </c>
      <c r="E17" s="63">
        <v>0</v>
      </c>
      <c r="F17" s="63">
        <v>0</v>
      </c>
      <c r="G17" s="63">
        <v>0</v>
      </c>
      <c r="H17" s="63">
        <v>0</v>
      </c>
    </row>
    <row r="18" spans="4:8">
      <c r="D18" s="61"/>
      <c r="E18" s="61"/>
      <c r="F18" s="61"/>
      <c r="G18" s="61"/>
      <c r="H18" s="61"/>
    </row>
    <row r="19" spans="4:8">
      <c r="D19" s="61"/>
      <c r="E19" s="82" t="s">
        <v>143</v>
      </c>
      <c r="F19" s="82"/>
      <c r="G19" s="65"/>
      <c r="H19" s="61"/>
    </row>
    <row r="20" spans="4:8">
      <c r="D20" s="65"/>
      <c r="E20" s="62" t="s">
        <v>144</v>
      </c>
      <c r="F20" s="62" t="s">
        <v>145</v>
      </c>
      <c r="G20" s="65"/>
      <c r="H20" s="61"/>
    </row>
    <row r="21" spans="4:8">
      <c r="D21" s="61"/>
      <c r="E21" s="63">
        <v>72</v>
      </c>
      <c r="F21" s="63">
        <v>72</v>
      </c>
      <c r="G21" s="61"/>
      <c r="H21" s="61"/>
    </row>
  </sheetData>
  <mergeCells count="4">
    <mergeCell ref="D7:H7"/>
    <mergeCell ref="D15:H15"/>
    <mergeCell ref="E19:F19"/>
    <mergeCell ref="E3:G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1235d3e-27ab-4237-aaa1-2b43728bcf8f" xsi:nil="true"/>
    <lcf76f155ced4ddcb4097134ff3c332f xmlns="aee8dc43-d370-4d0a-9946-f97398c490c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6003B0CCFB5284BB3FD24451B788C6B" ma:contentTypeVersion="11" ma:contentTypeDescription="Crear nuevo documento." ma:contentTypeScope="" ma:versionID="3ef35d1b574fadfb25c4f8f8a4341c60">
  <xsd:schema xmlns:xsd="http://www.w3.org/2001/XMLSchema" xmlns:xs="http://www.w3.org/2001/XMLSchema" xmlns:p="http://schemas.microsoft.com/office/2006/metadata/properties" xmlns:ns2="aee8dc43-d370-4d0a-9946-f97398c490cc" xmlns:ns3="a1235d3e-27ab-4237-aaa1-2b43728bcf8f" targetNamespace="http://schemas.microsoft.com/office/2006/metadata/properties" ma:root="true" ma:fieldsID="cb1860b62d113f1a834fbf7d218f45ec" ns2:_="" ns3:_="">
    <xsd:import namespace="aee8dc43-d370-4d0a-9946-f97398c490cc"/>
    <xsd:import namespace="a1235d3e-27ab-4237-aaa1-2b43728bcf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e8dc43-d370-4d0a-9946-f97398c490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c6cf6b5d-fb9d-41be-98bb-765216840d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235d3e-27ab-4237-aaa1-2b43728bcf8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7247e99e-8a6a-4b99-928d-b24169aa96f6}" ma:internalName="TaxCatchAll" ma:showField="CatchAllData" ma:web="a1235d3e-27ab-4237-aaa1-2b43728bcf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00D9BCA-DB86-437F-A0D2-FE62A5BD4253}"/>
</file>

<file path=customXml/itemProps2.xml><?xml version="1.0" encoding="utf-8"?>
<ds:datastoreItem xmlns:ds="http://schemas.openxmlformats.org/officeDocument/2006/customXml" ds:itemID="{C27128F4-BB2E-4214-8DBC-56D83E76F6D3}"/>
</file>

<file path=customXml/itemProps3.xml><?xml version="1.0" encoding="utf-8"?>
<ds:datastoreItem xmlns:ds="http://schemas.openxmlformats.org/officeDocument/2006/customXml" ds:itemID="{05106BAD-5AB0-4F66-9D74-82950856CA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BEATRIZ HERRERA</dc:creator>
  <cp:keywords/>
  <dc:description/>
  <cp:lastModifiedBy>NIKOL MARIANA COMETA</cp:lastModifiedBy>
  <cp:revision/>
  <dcterms:created xsi:type="dcterms:W3CDTF">2021-01-07T12:20:55Z</dcterms:created>
  <dcterms:modified xsi:type="dcterms:W3CDTF">2026-07-06T20:53:40Z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0x010100E6003B0CCFB5284BB3FD24451B788C6B</vt:lpwstr>
  </property>
  <property fmtid="{D5CDD505-2E9C-101B-9397-08002B2CF9AE}" pid="3" name="MediaServiceImageTags">
    <vt:lpwstr/>
  </property>
</Properties>
</file>