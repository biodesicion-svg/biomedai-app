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ey-my.sharepoint.com/personal/luis_nunez_novatecnica_com_co/Documents/LUIS SAN JOSE  INFANTIL/Gestion san jose infantil/"/>
    </mc:Choice>
  </mc:AlternateContent>
  <xr:revisionPtr revIDLastSave="1913" documentId="13_ncr:20001_{F82AE994-77D8-4A6C-A10C-18680BFDF284}" xr6:coauthVersionLast="47" xr6:coauthVersionMax="47" xr10:uidLastSave="{08E56151-030D-42A3-864A-6538B8530EBA}"/>
  <bookViews>
    <workbookView xWindow="-120" yWindow="-120" windowWidth="20730" windowHeight="11040" xr2:uid="{45FB66A5-B24D-4B5D-B146-B0AAA7069BCE}"/>
  </bookViews>
  <sheets>
    <sheet name="Compras" sheetId="2" r:id="rId1"/>
    <sheet name="CODIGOS ACTIVOS" sheetId="5" r:id="rId2"/>
    <sheet name="Hoja1" sheetId="3" r:id="rId3"/>
    <sheet name="Hoja2" sheetId="6" r:id="rId4"/>
  </sheets>
  <definedNames>
    <definedName name="_xlnm._FilterDatabase" localSheetId="1" hidden="1">'CODIGOS ACTIVOS'!$A$1:$D$652</definedName>
    <definedName name="_xlnm._FilterDatabase" localSheetId="0" hidden="1">Compras!$A$1:$L$1238</definedName>
    <definedName name="_xlnm._FilterDatabase" localSheetId="2" hidden="1">Hoja1!$C$2:$D$84</definedName>
    <definedName name="_xlnm._FilterDatabase" localSheetId="3" hidden="1">Hoja2!$C$2:$H$89</definedName>
    <definedName name="DatosExternos_1" localSheetId="0" hidden="1">Compras!$A$1:$K$1238</definedName>
    <definedName name="OLE_LINK1" localSheetId="1">'CODIGOS ACTIVOS'!$A$529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5" i="2" l="1"/>
  <c r="F3" i="6"/>
  <c r="H3" i="6" s="1"/>
  <c r="E89" i="6"/>
  <c r="G89" i="6" s="1"/>
  <c r="E88" i="6"/>
  <c r="G88" i="6" s="1"/>
  <c r="E87" i="6"/>
  <c r="G87" i="6" s="1"/>
  <c r="E86" i="6"/>
  <c r="G86" i="6" s="1"/>
  <c r="E85" i="6"/>
  <c r="G85" i="6" s="1"/>
  <c r="E84" i="6"/>
  <c r="G84" i="6" s="1"/>
  <c r="E83" i="6"/>
  <c r="G83" i="6" s="1"/>
  <c r="E82" i="6"/>
  <c r="G82" i="6" s="1"/>
  <c r="E81" i="6"/>
  <c r="G81" i="6" s="1"/>
  <c r="E80" i="6"/>
  <c r="G80" i="6" s="1"/>
  <c r="E79" i="6"/>
  <c r="G79" i="6" s="1"/>
  <c r="E78" i="6"/>
  <c r="G78" i="6" s="1"/>
  <c r="E77" i="6"/>
  <c r="G77" i="6" s="1"/>
  <c r="E76" i="6"/>
  <c r="G76" i="6" s="1"/>
  <c r="E75" i="6"/>
  <c r="G75" i="6" s="1"/>
  <c r="E74" i="6"/>
  <c r="G74" i="6" s="1"/>
  <c r="E73" i="6"/>
  <c r="G73" i="6" s="1"/>
  <c r="E72" i="6"/>
  <c r="G72" i="6" s="1"/>
  <c r="E71" i="6"/>
  <c r="G71" i="6" s="1"/>
  <c r="E70" i="6"/>
  <c r="G70" i="6" s="1"/>
  <c r="E69" i="6"/>
  <c r="G69" i="6" s="1"/>
  <c r="E68" i="6"/>
  <c r="G68" i="6" s="1"/>
  <c r="E67" i="6"/>
  <c r="G67" i="6" s="1"/>
  <c r="E66" i="6"/>
  <c r="G66" i="6" s="1"/>
  <c r="E65" i="6"/>
  <c r="G65" i="6" s="1"/>
  <c r="E64" i="6"/>
  <c r="G64" i="6" s="1"/>
  <c r="E63" i="6"/>
  <c r="G63" i="6" s="1"/>
  <c r="E62" i="6"/>
  <c r="G62" i="6" s="1"/>
  <c r="E61" i="6"/>
  <c r="G61" i="6" s="1"/>
  <c r="E60" i="6"/>
  <c r="G60" i="6" s="1"/>
  <c r="E59" i="6"/>
  <c r="G59" i="6" s="1"/>
  <c r="E58" i="6"/>
  <c r="G58" i="6" s="1"/>
  <c r="E57" i="6"/>
  <c r="G57" i="6" s="1"/>
  <c r="E56" i="6"/>
  <c r="G56" i="6" s="1"/>
  <c r="E55" i="6"/>
  <c r="G55" i="6" s="1"/>
  <c r="E54" i="6"/>
  <c r="G54" i="6" s="1"/>
  <c r="E53" i="6"/>
  <c r="G53" i="6" s="1"/>
  <c r="E52" i="6"/>
  <c r="G52" i="6" s="1"/>
  <c r="E51" i="6"/>
  <c r="G51" i="6" s="1"/>
  <c r="E50" i="6"/>
  <c r="G50" i="6" s="1"/>
  <c r="E49" i="6"/>
  <c r="G49" i="6" s="1"/>
  <c r="E48" i="6"/>
  <c r="G48" i="6" s="1"/>
  <c r="E47" i="6"/>
  <c r="G47" i="6" s="1"/>
  <c r="E46" i="6"/>
  <c r="G46" i="6" s="1"/>
  <c r="E45" i="6"/>
  <c r="G45" i="6" s="1"/>
  <c r="E44" i="6"/>
  <c r="G44" i="6" s="1"/>
  <c r="E43" i="6"/>
  <c r="G43" i="6" s="1"/>
  <c r="E42" i="6"/>
  <c r="G42" i="6" s="1"/>
  <c r="E41" i="6"/>
  <c r="G41" i="6" s="1"/>
  <c r="E40" i="6"/>
  <c r="G40" i="6" s="1"/>
  <c r="E39" i="6"/>
  <c r="G39" i="6" s="1"/>
  <c r="E38" i="6"/>
  <c r="G38" i="6" s="1"/>
  <c r="E37" i="6"/>
  <c r="G37" i="6" s="1"/>
  <c r="E36" i="6"/>
  <c r="G36" i="6" s="1"/>
  <c r="E35" i="6"/>
  <c r="G35" i="6" s="1"/>
  <c r="E34" i="6"/>
  <c r="G34" i="6" s="1"/>
  <c r="E33" i="6"/>
  <c r="G33" i="6" s="1"/>
  <c r="E32" i="6"/>
  <c r="G32" i="6" s="1"/>
  <c r="E31" i="6"/>
  <c r="G31" i="6" s="1"/>
  <c r="E30" i="6"/>
  <c r="G30" i="6" s="1"/>
  <c r="E29" i="6"/>
  <c r="G29" i="6" s="1"/>
  <c r="E28" i="6"/>
  <c r="G28" i="6" s="1"/>
  <c r="E27" i="6"/>
  <c r="G27" i="6" s="1"/>
  <c r="E26" i="6"/>
  <c r="G26" i="6" s="1"/>
  <c r="E25" i="6"/>
  <c r="G25" i="6" s="1"/>
  <c r="E24" i="6"/>
  <c r="G24" i="6" s="1"/>
  <c r="E23" i="6"/>
  <c r="G23" i="6" s="1"/>
  <c r="E22" i="6"/>
  <c r="G22" i="6" s="1"/>
  <c r="E21" i="6"/>
  <c r="G21" i="6" s="1"/>
  <c r="E20" i="6"/>
  <c r="G20" i="6" s="1"/>
  <c r="E19" i="6"/>
  <c r="G19" i="6" s="1"/>
  <c r="E18" i="6"/>
  <c r="G18" i="6" s="1"/>
  <c r="E17" i="6"/>
  <c r="G17" i="6" s="1"/>
  <c r="E16" i="6"/>
  <c r="G16" i="6" s="1"/>
  <c r="E15" i="6"/>
  <c r="G15" i="6" s="1"/>
  <c r="E14" i="6"/>
  <c r="G14" i="6" s="1"/>
  <c r="E13" i="6"/>
  <c r="G13" i="6" s="1"/>
  <c r="E12" i="6"/>
  <c r="G12" i="6" s="1"/>
  <c r="E11" i="6"/>
  <c r="G11" i="6" s="1"/>
  <c r="E10" i="6"/>
  <c r="G10" i="6" s="1"/>
  <c r="E9" i="6"/>
  <c r="G9" i="6" s="1"/>
  <c r="E8" i="6"/>
  <c r="G8" i="6" s="1"/>
  <c r="E7" i="6"/>
  <c r="G7" i="6" s="1"/>
  <c r="E6" i="6"/>
  <c r="G6" i="6" s="1"/>
  <c r="E5" i="6"/>
  <c r="G5" i="6" s="1"/>
  <c r="E3" i="6"/>
  <c r="G3" i="6" s="1"/>
  <c r="E4" i="6"/>
  <c r="G4" i="6" s="1"/>
  <c r="F4" i="6"/>
  <c r="H4" i="6" s="1"/>
  <c r="F5" i="6"/>
  <c r="H5" i="6" s="1"/>
  <c r="F6" i="6"/>
  <c r="H6" i="6" s="1"/>
  <c r="F7" i="6"/>
  <c r="H7" i="6" s="1"/>
  <c r="F8" i="6"/>
  <c r="H8" i="6" s="1"/>
  <c r="F9" i="6"/>
  <c r="H9" i="6" s="1"/>
  <c r="F10" i="6"/>
  <c r="H10" i="6" s="1"/>
  <c r="F11" i="6"/>
  <c r="H11" i="6" s="1"/>
  <c r="F12" i="6"/>
  <c r="H12" i="6" s="1"/>
  <c r="F13" i="6"/>
  <c r="H13" i="6" s="1"/>
  <c r="F14" i="6"/>
  <c r="H14" i="6" s="1"/>
  <c r="F15" i="6"/>
  <c r="H15" i="6" s="1"/>
  <c r="F16" i="6"/>
  <c r="H16" i="6" s="1"/>
  <c r="F17" i="6"/>
  <c r="H17" i="6" s="1"/>
  <c r="F18" i="6"/>
  <c r="H18" i="6" s="1"/>
  <c r="F19" i="6"/>
  <c r="H19" i="6" s="1"/>
  <c r="F20" i="6"/>
  <c r="H20" i="6" s="1"/>
  <c r="F21" i="6"/>
  <c r="H21" i="6" s="1"/>
  <c r="F22" i="6"/>
  <c r="H22" i="6" s="1"/>
  <c r="F23" i="6"/>
  <c r="H23" i="6" s="1"/>
  <c r="F24" i="6"/>
  <c r="H24" i="6" s="1"/>
  <c r="F25" i="6"/>
  <c r="H25" i="6" s="1"/>
  <c r="F26" i="6"/>
  <c r="H26" i="6" s="1"/>
  <c r="F27" i="6"/>
  <c r="H27" i="6" s="1"/>
  <c r="F28" i="6"/>
  <c r="H28" i="6" s="1"/>
  <c r="F29" i="6"/>
  <c r="H29" i="6" s="1"/>
  <c r="F30" i="6"/>
  <c r="H30" i="6" s="1"/>
  <c r="F31" i="6"/>
  <c r="H31" i="6" s="1"/>
  <c r="F32" i="6"/>
  <c r="H32" i="6" s="1"/>
  <c r="F33" i="6"/>
  <c r="H33" i="6" s="1"/>
  <c r="F34" i="6"/>
  <c r="H34" i="6" s="1"/>
  <c r="F35" i="6"/>
  <c r="H35" i="6" s="1"/>
  <c r="F36" i="6"/>
  <c r="H36" i="6" s="1"/>
  <c r="F37" i="6"/>
  <c r="H37" i="6" s="1"/>
  <c r="F38" i="6"/>
  <c r="H38" i="6" s="1"/>
  <c r="F39" i="6"/>
  <c r="H39" i="6" s="1"/>
  <c r="F40" i="6"/>
  <c r="H40" i="6" s="1"/>
  <c r="F41" i="6"/>
  <c r="H41" i="6" s="1"/>
  <c r="F42" i="6"/>
  <c r="H42" i="6" s="1"/>
  <c r="F43" i="6"/>
  <c r="H43" i="6" s="1"/>
  <c r="F44" i="6"/>
  <c r="H44" i="6" s="1"/>
  <c r="F45" i="6"/>
  <c r="H45" i="6" s="1"/>
  <c r="F46" i="6"/>
  <c r="H46" i="6" s="1"/>
  <c r="F47" i="6"/>
  <c r="H47" i="6" s="1"/>
  <c r="F48" i="6"/>
  <c r="H48" i="6" s="1"/>
  <c r="F49" i="6"/>
  <c r="H49" i="6" s="1"/>
  <c r="F50" i="6"/>
  <c r="H50" i="6" s="1"/>
  <c r="F51" i="6"/>
  <c r="H51" i="6" s="1"/>
  <c r="F52" i="6"/>
  <c r="H52" i="6" s="1"/>
  <c r="F53" i="6"/>
  <c r="H53" i="6" s="1"/>
  <c r="F54" i="6"/>
  <c r="H54" i="6" s="1"/>
  <c r="F55" i="6"/>
  <c r="H55" i="6" s="1"/>
  <c r="F56" i="6"/>
  <c r="H56" i="6" s="1"/>
  <c r="F57" i="6"/>
  <c r="H57" i="6" s="1"/>
  <c r="F58" i="6"/>
  <c r="H58" i="6" s="1"/>
  <c r="F59" i="6"/>
  <c r="H59" i="6" s="1"/>
  <c r="F60" i="6"/>
  <c r="H60" i="6" s="1"/>
  <c r="F61" i="6"/>
  <c r="H61" i="6" s="1"/>
  <c r="F62" i="6"/>
  <c r="H62" i="6" s="1"/>
  <c r="F63" i="6"/>
  <c r="H63" i="6" s="1"/>
  <c r="F64" i="6"/>
  <c r="H64" i="6" s="1"/>
  <c r="F65" i="6"/>
  <c r="H65" i="6" s="1"/>
  <c r="F66" i="6"/>
  <c r="H66" i="6" s="1"/>
  <c r="F67" i="6"/>
  <c r="H67" i="6" s="1"/>
  <c r="F68" i="6"/>
  <c r="H68" i="6" s="1"/>
  <c r="F69" i="6"/>
  <c r="H69" i="6" s="1"/>
  <c r="F70" i="6"/>
  <c r="H70" i="6" s="1"/>
  <c r="F71" i="6"/>
  <c r="H71" i="6" s="1"/>
  <c r="F72" i="6"/>
  <c r="H72" i="6" s="1"/>
  <c r="F73" i="6"/>
  <c r="H73" i="6" s="1"/>
  <c r="F74" i="6"/>
  <c r="H74" i="6" s="1"/>
  <c r="F75" i="6"/>
  <c r="H75" i="6" s="1"/>
  <c r="F76" i="6"/>
  <c r="H76" i="6" s="1"/>
  <c r="F77" i="6"/>
  <c r="H77" i="6" s="1"/>
  <c r="F78" i="6"/>
  <c r="H78" i="6" s="1"/>
  <c r="F79" i="6"/>
  <c r="H79" i="6" s="1"/>
  <c r="F80" i="6"/>
  <c r="H80" i="6" s="1"/>
  <c r="F81" i="6"/>
  <c r="H81" i="6" s="1"/>
  <c r="F82" i="6"/>
  <c r="H82" i="6" s="1"/>
  <c r="F83" i="6"/>
  <c r="H83" i="6" s="1"/>
  <c r="F84" i="6"/>
  <c r="H84" i="6" s="1"/>
  <c r="F85" i="6"/>
  <c r="H85" i="6" s="1"/>
  <c r="F86" i="6"/>
  <c r="H86" i="6" s="1"/>
  <c r="F87" i="6"/>
  <c r="H87" i="6" s="1"/>
  <c r="F88" i="6"/>
  <c r="H88" i="6" s="1"/>
  <c r="F89" i="6"/>
  <c r="H89" i="6" s="1"/>
  <c r="H434" i="2" l="1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 l="1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381" i="2"/>
  <c r="H375" i="2"/>
  <c r="H401" i="2" l="1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C374" i="2" l="1"/>
  <c r="C373" i="2"/>
  <c r="C371" i="2"/>
  <c r="C370" i="2"/>
  <c r="C369" i="2"/>
  <c r="C368" i="2"/>
  <c r="C367" i="2"/>
  <c r="C365" i="2"/>
  <c r="C364" i="2"/>
  <c r="C363" i="2"/>
  <c r="C362" i="2"/>
  <c r="C361" i="2"/>
  <c r="C360" i="2"/>
  <c r="C359" i="2"/>
  <c r="C358" i="2"/>
  <c r="J356" i="2"/>
  <c r="C354" i="2"/>
  <c r="C339" i="2"/>
  <c r="C340" i="2"/>
  <c r="C341" i="2"/>
  <c r="C342" i="2"/>
  <c r="C343" i="2"/>
  <c r="C344" i="2"/>
  <c r="C345" i="2"/>
  <c r="C346" i="2"/>
  <c r="C348" i="2"/>
  <c r="C349" i="2"/>
  <c r="C350" i="2"/>
  <c r="C351" i="2"/>
  <c r="C352" i="2"/>
  <c r="C355" i="2"/>
  <c r="H281" i="2"/>
  <c r="C319" i="2"/>
  <c r="C337" i="2"/>
  <c r="C336" i="2"/>
  <c r="C299" i="2"/>
  <c r="C300" i="2"/>
  <c r="C301" i="2"/>
  <c r="C302" i="2"/>
  <c r="C303" i="2"/>
  <c r="C304" i="2"/>
  <c r="C305" i="2"/>
  <c r="J298" i="2"/>
  <c r="J297" i="2"/>
  <c r="J288" i="2"/>
  <c r="J289" i="2"/>
  <c r="J290" i="2"/>
  <c r="J291" i="2"/>
  <c r="J292" i="2"/>
  <c r="J293" i="2"/>
  <c r="J294" i="2"/>
  <c r="J295" i="2"/>
  <c r="J296" i="2"/>
  <c r="J215" i="2"/>
  <c r="J267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278" i="2"/>
  <c r="J279" i="2"/>
  <c r="J280" i="2"/>
  <c r="J281" i="2"/>
  <c r="J282" i="2"/>
  <c r="J283" i="2"/>
  <c r="J284" i="2"/>
  <c r="J285" i="2"/>
  <c r="J286" i="2"/>
  <c r="J287" i="2"/>
  <c r="H269" i="2"/>
  <c r="C265" i="2"/>
  <c r="C263" i="2" l="1"/>
  <c r="C262" i="2"/>
  <c r="C258" i="2"/>
  <c r="C255" i="2"/>
  <c r="C254" i="2"/>
  <c r="C266" i="2"/>
  <c r="C269" i="2"/>
  <c r="C270" i="2"/>
  <c r="C271" i="2"/>
  <c r="C272" i="2"/>
  <c r="C273" i="2"/>
  <c r="C274" i="2"/>
  <c r="C276" i="2"/>
  <c r="C277" i="2"/>
  <c r="C288" i="2"/>
  <c r="C289" i="2"/>
  <c r="C290" i="2"/>
  <c r="C293" i="2"/>
  <c r="C294" i="2"/>
  <c r="C297" i="2"/>
  <c r="C298" i="2"/>
  <c r="C215" i="2"/>
  <c r="C267" i="2"/>
  <c r="C306" i="2"/>
  <c r="C307" i="2"/>
  <c r="C308" i="2"/>
  <c r="C309" i="2"/>
  <c r="C310" i="2"/>
  <c r="C311" i="2"/>
  <c r="C315" i="2"/>
  <c r="C317" i="2"/>
  <c r="C318" i="2"/>
  <c r="C320" i="2"/>
  <c r="C321" i="2"/>
  <c r="C322" i="2"/>
  <c r="C323" i="2"/>
  <c r="C324" i="2"/>
  <c r="C326" i="2"/>
  <c r="C327" i="2"/>
  <c r="C329" i="2"/>
  <c r="C330" i="2"/>
  <c r="C331" i="2"/>
  <c r="C332" i="2"/>
  <c r="C333" i="2"/>
  <c r="C334" i="2"/>
  <c r="C335" i="2"/>
  <c r="C338" i="2"/>
  <c r="C1228" i="2"/>
  <c r="C1229" i="2"/>
  <c r="C1230" i="2"/>
  <c r="C1231" i="2"/>
  <c r="C1232" i="2"/>
  <c r="C1233" i="2"/>
  <c r="C1234" i="2"/>
  <c r="C1235" i="2"/>
  <c r="C1236" i="2"/>
  <c r="C1237" i="2"/>
  <c r="J268" i="2"/>
  <c r="J269" i="2"/>
  <c r="J270" i="2"/>
  <c r="J271" i="2"/>
  <c r="J272" i="2"/>
  <c r="J273" i="2"/>
  <c r="J274" i="2"/>
  <c r="J275" i="2"/>
  <c r="J276" i="2"/>
  <c r="J27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D14674-C191-407A-9857-6DEDDCD770EA}" keepAlive="1" name="Consulta - 2024" description="Conexión a la consulta '2024' en el libro." type="5" refreshedVersion="8" background="1" saveData="1">
    <dbPr connection="Provider=Microsoft.Mashup.OleDb.1;Data Source=$Workbook$;Location=2024;Extended Properties=&quot;&quot;" command="SELECT * FROM [2024]"/>
  </connection>
  <connection id="2" xr16:uid="{719DD292-285B-4A08-97F5-10989706E26F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3" xr16:uid="{29078AB7-8D46-4A82-A3A8-3219ABA23150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6C97B281-3343-424C-9C08-C471C0D2F25C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B832EF96-D998-4959-A763-F4CA9B2E9B17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<sst xmlns="http://schemas.openxmlformats.org/spreadsheetml/2006/main" count="2890" uniqueCount="1671">
  <si>
    <t>PEDIDO AREA DE ING BIOMEDICA ABRIL 2024.xlsx</t>
  </si>
  <si>
    <t>Columna1</t>
  </si>
  <si>
    <t>CODIGO</t>
  </si>
  <si>
    <t>DESCRIPCION</t>
  </si>
  <si>
    <t>CANTIDAD</t>
  </si>
  <si>
    <t>ENTREGADO</t>
  </si>
  <si>
    <t>FECHA DE ENTREGA</t>
  </si>
  <si>
    <t>FALTANTE</t>
  </si>
  <si>
    <t>CENTRO DE COSTOS</t>
  </si>
  <si>
    <t>ABRI</t>
  </si>
  <si>
    <t>Observaciones de fechas de entrega ( 1pimera fecha y segunda y ETC</t>
  </si>
  <si>
    <t>Q252796</t>
  </si>
  <si>
    <t>Sensor De Saturación Drager Adulto Nellcor</t>
  </si>
  <si>
    <t>(2) Salas de cirugía 4 piso</t>
  </si>
  <si>
    <t>NUEVO</t>
  </si>
  <si>
    <t>Cable ECG 5 Derivadas Drager</t>
  </si>
  <si>
    <t>(1) Salas de cirugía 4 piso</t>
  </si>
  <si>
    <t xml:space="preserve">(2) Urgencias </t>
  </si>
  <si>
    <t>A289799</t>
  </si>
  <si>
    <t>Cable De Alimentacion Grado Hospitalario</t>
  </si>
  <si>
    <t>(1) Urgencias, (2) Salas de cirugía 4 piso</t>
  </si>
  <si>
    <t>A171049</t>
  </si>
  <si>
    <t>Bombillo Laringoscopío Ref: 6000</t>
  </si>
  <si>
    <t>(1) Urgencias,  (2) Salas de cirugía 4 piso</t>
  </si>
  <si>
    <t>A258988</t>
  </si>
  <si>
    <t>Multimed Drager</t>
  </si>
  <si>
    <t>(3) Salas de cirugía 4 piso</t>
  </si>
  <si>
    <t>Q252746</t>
  </si>
  <si>
    <t>Sensor De Saturación Mindray UMEC10 Neonatal Original</t>
  </si>
  <si>
    <t>A251139</t>
  </si>
  <si>
    <t>Sensor De Saturación Mindray IMEC10 Adultos</t>
  </si>
  <si>
    <t>(3) Urgencias, (2)Hospitalización, (2) Salas de cirugia 4 piso</t>
  </si>
  <si>
    <t>Toco de Frecuencias Uterina monitor fetal Corometrics 170</t>
  </si>
  <si>
    <t>Q252732</t>
  </si>
  <si>
    <t>Sensor De Saturación Cardiocap GE Adultos</t>
  </si>
  <si>
    <t>Manguera NIBP  para Monitor De Signos Vitales Cardiocap</t>
  </si>
  <si>
    <t>Brazalete Adulto 1 Vias</t>
  </si>
  <si>
    <t>(1) Urgencias, (2)Hospitalización, (2) Salas de cirugia 4 piso</t>
  </si>
  <si>
    <t>Q252509</t>
  </si>
  <si>
    <t>Conector Para Brazalete</t>
  </si>
  <si>
    <t>(3) Urgencias, (6)Hospitalización, (3) Salas de cirugia 4 piso</t>
  </si>
  <si>
    <t>A250075</t>
  </si>
  <si>
    <t>Interfaz De Spo2 Drager</t>
  </si>
  <si>
    <t>Q250011 O Q252863</t>
  </si>
  <si>
    <t>Bateria Monitor Signos Vitales Mindray Mec1200</t>
  </si>
  <si>
    <t>(2) Urgencias</t>
  </si>
  <si>
    <t>Q250003</t>
  </si>
  <si>
    <t>Sensor De Saturación Mindray MEC1200 Adulto</t>
  </si>
  <si>
    <t>2 (Salas de cx recuperación), 1 (Hospitalización)</t>
  </si>
  <si>
    <t>1 ( Sala de partos)</t>
  </si>
  <si>
    <t>2 (Urgencias)</t>
  </si>
  <si>
    <t>2 (Salas de cx partos)</t>
  </si>
  <si>
    <t>Cable ECG 3 Derivadas Mindray Mec1200</t>
  </si>
  <si>
    <t>Q283204</t>
  </si>
  <si>
    <t>Cable ECG 3 Derivadas Mindray Umec</t>
  </si>
  <si>
    <t>1 (Salas de cx partos), 1 (Salas de cx recuperación)</t>
  </si>
  <si>
    <t>2 (Salas de cx), 1 (Salas de cx)</t>
  </si>
  <si>
    <t>2 (Hospitalización)</t>
  </si>
  <si>
    <t>2 (Salas de cx)</t>
  </si>
  <si>
    <t xml:space="preserve">(3)Urgencias,(3) Salas de CX, (5)Hospitalización </t>
  </si>
  <si>
    <t>Q283256</t>
  </si>
  <si>
    <t>Brazalete Niño de 1 Via reusable manguera verde- Medida (13,8 - 21,5)</t>
  </si>
  <si>
    <t xml:space="preserve">(3)Hospitalización </t>
  </si>
  <si>
    <t>(1)Salas de CX</t>
  </si>
  <si>
    <t>(2)Salas de CX</t>
  </si>
  <si>
    <t>A250003</t>
  </si>
  <si>
    <t>Sensor De Saturación Mindray MEC1200 Neonatal</t>
  </si>
  <si>
    <t>(3)Urgencias</t>
  </si>
  <si>
    <t>Q252607</t>
  </si>
  <si>
    <t>Brazalete Infante De 1 Via reusable manguera naranja- Medida ( 9-14.8)</t>
  </si>
  <si>
    <t xml:space="preserve">(2)Hospitalización </t>
  </si>
  <si>
    <t>L619239</t>
  </si>
  <si>
    <t>Transductor de Frecuencias Uterina monitor fetal Corometrics 170</t>
  </si>
  <si>
    <t>(1)Salas de partos</t>
  </si>
  <si>
    <t>A250030</t>
  </si>
  <si>
    <t>Cable ECG 5 Derivadas G.E. B650</t>
  </si>
  <si>
    <t>(3) Urgencias, (2) Salas de cirugia, (2) hospitalización 4piso</t>
  </si>
  <si>
    <t xml:space="preserve"> 1 Hospitalización 4 piso</t>
  </si>
  <si>
    <t xml:space="preserve">(3) urgencias pediatria, (1) urgencias adulto </t>
  </si>
  <si>
    <t>(3) Hospitalización 5 piso, (1) Urgencias , (1) Hospitalización 2b</t>
  </si>
  <si>
    <t>(1) Rehabilitación, (3) urgencias, (1) hospitalización 2D, (1) hospitalización 5a, (1) recuperación cx, (2) salas 4 piso, (1) salas 2 piso</t>
  </si>
  <si>
    <t>Q252748</t>
  </si>
  <si>
    <t>Brazalete Adulto 2 Vias</t>
  </si>
  <si>
    <t xml:space="preserve">3 Consulta externa (Cons 7, 17, 19), 1 Hospitalización </t>
  </si>
  <si>
    <t>A250013</t>
  </si>
  <si>
    <t>Sensor De Saturación Mindray IMEC10 Neonatal</t>
  </si>
  <si>
    <t>3 Urgencias,</t>
  </si>
  <si>
    <t>Sensor De Saturación Drager Adulto Nellcor ORIGINAL</t>
  </si>
  <si>
    <t>Salas de cirugia 4 piso</t>
  </si>
  <si>
    <t xml:space="preserve">(5) Urgencias </t>
  </si>
  <si>
    <t>(2) urgencias adultos, (1) hospitalización 5a, (1) hospitalización 4 alta dependencia, (3) recuperación salas cx, (1) hospitalización 2d, (1) hospitalización 3b, (1) hospitalización 2a</t>
  </si>
  <si>
    <t>(10)Consulta externa, (1)Hospitalización 2B</t>
  </si>
  <si>
    <t>Q252815</t>
  </si>
  <si>
    <t>Pera Con Valvula Para Tensiometro</t>
  </si>
  <si>
    <t xml:space="preserve">(15)Consulta externa </t>
  </si>
  <si>
    <t xml:space="preserve">(1) Hospitalización 3b </t>
  </si>
  <si>
    <t>(2) Salas de cx</t>
  </si>
  <si>
    <t>A251029</t>
  </si>
  <si>
    <t>Brazalete Neonatal De 1 Via reusable manguera Azul- Medida ( 5.8 - 10.8)</t>
  </si>
  <si>
    <t>(2) Hospitalización 2C y 2D</t>
  </si>
  <si>
    <t>(2) Hospitalización 2A y 2B</t>
  </si>
  <si>
    <t>(2) Hospitalización (VIP, 2C), (2) Sala cirugia, (1) urgencias</t>
  </si>
  <si>
    <t>(1) urgencias pediatria (1) urgencias adulto</t>
  </si>
  <si>
    <t>Manguera para conexión PNI (REF:MP00953)</t>
  </si>
  <si>
    <t>(1) Radiologia-resonancia, (1) Salas cx</t>
  </si>
  <si>
    <t>(2) Sala de cirugia, (1) Sala de partos</t>
  </si>
  <si>
    <t>(1) Hospitalización 5a, (2) Urgencias adultos, (1) Hospitalización 2c, (5) Salas CX, (1) Hospitalización 3B, (1) Hospitalización 4</t>
  </si>
  <si>
    <t>(2) Hospitalización 3A, 2D, (1) Urgencias pediatria, (1) Hospitalización 3B</t>
  </si>
  <si>
    <t>(2) Urgencias adultos, (1) salas de cx</t>
  </si>
  <si>
    <t>(1) Observación adultos</t>
  </si>
  <si>
    <t>(1) Urgencias Triage adultos, (7) Salas cx, (2) Recuperación partos, (3) Hospitalización 5A, 3A, 2VIP,  (2) Urgencias trauma</t>
  </si>
  <si>
    <t>Sensor De Saturación Drager Adulto</t>
  </si>
  <si>
    <t>(3) Sala de cirugia</t>
  </si>
  <si>
    <t>(1) Triage urgencias</t>
  </si>
  <si>
    <t>(1) Sala de cirugia</t>
  </si>
  <si>
    <t>(2) Hospitalización 2VIP, 2D</t>
  </si>
  <si>
    <t>(1) Hospitalización 2b, (1) Salas cx</t>
  </si>
  <si>
    <t>(2) Hospitalización 3a, 5b, (2) Salas cx, (1) Urgencias</t>
  </si>
  <si>
    <t>(1) Hospitalización 4 piso alta dependencia</t>
  </si>
  <si>
    <t>(1) Hospitalización 4 piso alta dependencia, (1) Urgencias adultos</t>
  </si>
  <si>
    <t>(2) Urgencias adulto, (1) Hospitalización, (2) Salas cx</t>
  </si>
  <si>
    <t>A250134</t>
  </si>
  <si>
    <t>Sensor De Saturación Drager Adulto Nellcor (Generico)</t>
  </si>
  <si>
    <t>(1) Salas de CX</t>
  </si>
  <si>
    <t>(1) Salas de CX, (1) Hospitalización 5b</t>
  </si>
  <si>
    <t xml:space="preserve">(3) Urgencias pediatria </t>
  </si>
  <si>
    <t>A252600</t>
  </si>
  <si>
    <t>Brazalete Pediatrico De1 Via  Medida ( 18 - 26 )</t>
  </si>
  <si>
    <t>(3) Hospitalización</t>
  </si>
  <si>
    <t>TOCO DE FRECUENCIAS UTERINA F3 EDAN</t>
  </si>
  <si>
    <t>TOCO ULTRASONIDO F3 EDAN</t>
  </si>
  <si>
    <t>(2) Hospitalización 4 piso alta dependencia</t>
  </si>
  <si>
    <t xml:space="preserve">Sensor De Saturación Mindray UMEC10 Neonatal </t>
  </si>
  <si>
    <t>(1) URGENCIAS, (2) HOSPITALIZACIÓN</t>
  </si>
  <si>
    <t xml:space="preserve">(3) SALAS DE CIRUGIA </t>
  </si>
  <si>
    <t>(2) URGENCIAS TRIAGE PEDIATRIA, (1) Urgencias reanimación pediatria</t>
  </si>
  <si>
    <t xml:space="preserve">(2) Hospitalización , (1) Salas de cirugia </t>
  </si>
  <si>
    <t>(1)Urgencias reanimación adultos, (2) Hospitalización 4 piso, (1) Urgencias adultos trauma, (2) Sala de partos</t>
  </si>
  <si>
    <t xml:space="preserve">(2) Salas de cirugia, (1)  urgencias </t>
  </si>
  <si>
    <t>(2) sala de cirugia</t>
  </si>
  <si>
    <t>Brazalete neonatales Hillroom</t>
  </si>
  <si>
    <t>Adaptación neonatal (wellchallyn)</t>
  </si>
  <si>
    <t>Urgencias pediatria</t>
  </si>
  <si>
    <t>(2) urgencias adulto, (2) salas de cirugía</t>
  </si>
  <si>
    <t>A092046</t>
  </si>
  <si>
    <t>Socket Laringoscopio Ref: 60813</t>
  </si>
  <si>
    <t>(2) salas de cirugía</t>
  </si>
  <si>
    <t>Trabajo de partos</t>
  </si>
  <si>
    <t xml:space="preserve">(3) Hospitalización , (2) Salas de cirugia </t>
  </si>
  <si>
    <t>12/04/2024-06/05/2024</t>
  </si>
  <si>
    <t xml:space="preserve"> (6) Sala de partos, (4) Urgencias adulto, (3) hospitalización, (2) salas de cirugía</t>
  </si>
  <si>
    <t>(2) sala de cirugia. (1) urgencias</t>
  </si>
  <si>
    <t>(4) urgencias</t>
  </si>
  <si>
    <t>(2) urgencias adulto, (1) salas de cirugía</t>
  </si>
  <si>
    <t>Bateria Monitor Signos Vitales CardioCap</t>
  </si>
  <si>
    <t>(5) salas de cirugia</t>
  </si>
  <si>
    <t>Q250014</t>
  </si>
  <si>
    <t>Bateria Monitor Signos Vitales Mindray IMEC10</t>
  </si>
  <si>
    <t>(1) URGENCIAS</t>
  </si>
  <si>
    <t>(1) Hospitalización</t>
  </si>
  <si>
    <t>(2) URGENCIAS, (2) HOSPITALIZACIÓN</t>
  </si>
  <si>
    <t>A204002</t>
  </si>
  <si>
    <t>Bombillo Lampara Cielitica</t>
  </si>
  <si>
    <t>(3)Hospitalizacion 2A (2) Hospitalizacion 5A</t>
  </si>
  <si>
    <t>(3) salas de cirugía, (2) Urgencias adulto, (2) Hospitalización 3</t>
  </si>
  <si>
    <t>(2) urgencias adulto (2) Hospitalizacion 4</t>
  </si>
  <si>
    <t>A171023</t>
  </si>
  <si>
    <t>Bombillo Equipo de organos nuevo Ref: 3100u</t>
  </si>
  <si>
    <t>(2) consulta externa</t>
  </si>
  <si>
    <t xml:space="preserve"> (4) Urgencias adulto, (2) hospitalización</t>
  </si>
  <si>
    <t>(3) urgencias</t>
  </si>
  <si>
    <t xml:space="preserve">(3) urgencias adulto (2) Hospitalizacion </t>
  </si>
  <si>
    <t>Hospitalización</t>
  </si>
  <si>
    <t>(4) Hospitalización</t>
  </si>
  <si>
    <t>Salas de cirugía</t>
  </si>
  <si>
    <t>(2) Salas de cirugía</t>
  </si>
  <si>
    <t>Ginecologia</t>
  </si>
  <si>
    <t xml:space="preserve">(3) Hospitalización </t>
  </si>
  <si>
    <t xml:space="preserve">(4) Salas de cirugia </t>
  </si>
  <si>
    <t>A25149</t>
  </si>
  <si>
    <t>Esquineros incubadora Abierta Drager</t>
  </si>
  <si>
    <t xml:space="preserve">(1) Salas de cirugia </t>
  </si>
  <si>
    <t>BRAZALETE NIÑO DE 1 VIA REUSABLE MANGUERA VERDE- MEDIDA (13,8 - 21,5)</t>
  </si>
  <si>
    <t>Brazalete Infante De 2 Vias reusable manguera naranja- Medida ( 9-14.8)</t>
  </si>
  <si>
    <t>(3) Salas de cirugia (2) Urgencias</t>
  </si>
  <si>
    <t>A250016</t>
  </si>
  <si>
    <t>Brazalete Neonatal De 1 Via reusable Medida ( 6 - 11)</t>
  </si>
  <si>
    <t>(2) Hospitalización</t>
  </si>
  <si>
    <t xml:space="preserve">(3) Salas de cirugia </t>
  </si>
  <si>
    <t>Bombillo laringoscopio ref mago 60813 (LED)</t>
  </si>
  <si>
    <t>(2) Hospitalización (2) urgencias</t>
  </si>
  <si>
    <t>Bombillo Laringoscopío Ref: 2800</t>
  </si>
  <si>
    <t>A171078</t>
  </si>
  <si>
    <t>Bombillo Laringoscopío Ref: 3400u</t>
  </si>
  <si>
    <t>(2) Hospítalización</t>
  </si>
  <si>
    <t>(4) Consulta externa</t>
  </si>
  <si>
    <t>(2) Hospitalización (1)Ginecologia</t>
  </si>
  <si>
    <t>(3) Salas de cirugia (2) hospitalización (3) urgencias (2) ginecologia</t>
  </si>
  <si>
    <t>(3) Salas de cirugia (3) Hospitalización (2) urgencias</t>
  </si>
  <si>
    <t>Brazalete neonatales Hillroom - WELCHALLYN</t>
  </si>
  <si>
    <t>(2) Urgencias (2) hospitalización</t>
  </si>
  <si>
    <t>(2) Hospítalización (3) urgencias</t>
  </si>
  <si>
    <t>25 DE SEPTIEMBRE SE ENTREGAN 3 EL 28 DE NOVIEMBRE SE ENTREGAN 5</t>
  </si>
  <si>
    <t>(2) Consulta externa</t>
  </si>
  <si>
    <t>Bateria incubadora drager</t>
  </si>
  <si>
    <t>FUELLE</t>
  </si>
  <si>
    <t>CABLE DE COMUNICACIÓN DE MAQUINA DATEX OHMEDA</t>
  </si>
  <si>
    <t>(2) Ginecologia</t>
  </si>
  <si>
    <t>Transductor de Frecuencias Uterina monitor fetal Edan F3 (6 PINES)</t>
  </si>
  <si>
    <t>(3) Salas de cirugia (2) urgencias</t>
  </si>
  <si>
    <t xml:space="preserve">(3) Salas de cirugia (2) hospitalización (3) urgencias </t>
  </si>
  <si>
    <t>(3) Salas de cirugia (1) urgencias</t>
  </si>
  <si>
    <t>Bateria Monitor Umec 10</t>
  </si>
  <si>
    <t>Sonda de temperatura Drager Vista 120s (Trasesofagica)</t>
  </si>
  <si>
    <t>(1) Salas de cirugia</t>
  </si>
  <si>
    <t>(4) Salas de cirugia</t>
  </si>
  <si>
    <t>(3) Urgencias (2) Ginecologia</t>
  </si>
  <si>
    <t>(4) Urgencias (1) Ginecologia</t>
  </si>
  <si>
    <t>(2) Salas de cirugia</t>
  </si>
  <si>
    <t>Fuelle maquina de antessia Datex Ohmeda</t>
  </si>
  <si>
    <t>Ruedas maquina de antessia Datex Ohmeda</t>
  </si>
  <si>
    <t>(8) Salas de cirugia</t>
  </si>
  <si>
    <t>Bateria para maquina de antessia Datex Ohmeda</t>
  </si>
  <si>
    <t>(6) Salas de cirugia</t>
  </si>
  <si>
    <t>Bateria para monitor de signos de antessia Datex Ohmeda</t>
  </si>
  <si>
    <t>Bloques de bomba de 6</t>
  </si>
  <si>
    <t>(2) hospitalizacion (1) Salas de cirugia (1) Urgencias</t>
  </si>
  <si>
    <t>Bloques de bomba de12</t>
  </si>
  <si>
    <t>(2) GInecologia (2) Urgencias</t>
  </si>
  <si>
    <t>Sensor De Saturación Mindray UMEC10 Adulto</t>
  </si>
  <si>
    <t>(3) Urgencias (2) Ginecologia (3) Hospitalización</t>
  </si>
  <si>
    <t>Q252747</t>
  </si>
  <si>
    <t>A250071</t>
  </si>
  <si>
    <t>(1) Urgencias (2) Hospitalización</t>
  </si>
  <si>
    <t>2 PARES</t>
  </si>
  <si>
    <t>(-2) Urgencias (-1) Ginecologia</t>
  </si>
  <si>
    <t>(-1) Urgencias (-2) Ginecologia</t>
  </si>
  <si>
    <t>(-2) Hospitalización (-3) Ginecologia</t>
  </si>
  <si>
    <t xml:space="preserve">(1) Salas de cx (2) Hospitalización </t>
  </si>
  <si>
    <t>(1) Salas de Cx  DE 2MTS</t>
  </si>
  <si>
    <t>(3) Hospitalización (3) Urgencias</t>
  </si>
  <si>
    <t>Cable ECG 5 derivadas Drager vista 120s</t>
  </si>
  <si>
    <t>(2) Salas cx</t>
  </si>
  <si>
    <t>(2) Hospitalización (2) Urgencias</t>
  </si>
  <si>
    <t>Sensores de flujo de maquinas de anestesia</t>
  </si>
  <si>
    <t>(18) Salas de cx</t>
  </si>
  <si>
    <t xml:space="preserve">Sensor SPO2 Drager Neonatal </t>
  </si>
  <si>
    <t>Q252727</t>
  </si>
  <si>
    <r>
      <t xml:space="preserve">Brazalete Neonatal De 2 Vias  </t>
    </r>
    <r>
      <rPr>
        <b/>
        <sz val="10"/>
        <rFont val="Arial"/>
        <family val="2"/>
      </rPr>
      <t>Medida ( 13,8 - 21,5 )</t>
    </r>
  </si>
  <si>
    <t>A251002</t>
  </si>
  <si>
    <t xml:space="preserve">Cable ECG 5 Derivadas G.E. Cardiocap </t>
  </si>
  <si>
    <t>Resolicitado</t>
  </si>
  <si>
    <t>Solicitud de Adaptador SpO2 Tesla - goma</t>
  </si>
  <si>
    <t>Resonancia magnetica</t>
  </si>
  <si>
    <t>filtros de calentador de mantas</t>
  </si>
  <si>
    <t>BRAZALETE ADULTO 1 VIA</t>
  </si>
  <si>
    <t xml:space="preserve">(3) Hospitalización (2) Urgencias </t>
  </si>
  <si>
    <t>Llegan tambien 4 brazaletes de medidas (184-267 mm de doble via)</t>
  </si>
  <si>
    <t>(3) Hospitalización (2) Urgencias</t>
  </si>
  <si>
    <t>(3) Urgencias pediatria</t>
  </si>
  <si>
    <t>(1) Ginecologia</t>
  </si>
  <si>
    <t>Llego toco de ultrasonido frecuencia fetal corometris 170 gbarco</t>
  </si>
  <si>
    <t>Brazalete pediatrico medida 15-21 cm</t>
  </si>
  <si>
    <t xml:space="preserve">(3) Urgencias pediatria (2) Hospitalización </t>
  </si>
  <si>
    <t>Llegaron , 3 con medidas( 12-19cm)</t>
  </si>
  <si>
    <t>Brazalete pediatrico medida 9,8-18 cm</t>
  </si>
  <si>
    <t>Llegaron el dia 05/06/2025  (1) de medidas (9,8-18 cm), 2 con medida (7,2-13cm)</t>
  </si>
  <si>
    <t xml:space="preserve">(5) Consulta externa </t>
  </si>
  <si>
    <t>Q252835</t>
  </si>
  <si>
    <t>Sensor De Saturación GE Adultos Datex Ohmeda B650</t>
  </si>
  <si>
    <t xml:space="preserve">(1) Hospitalización </t>
  </si>
  <si>
    <t xml:space="preserve">Filtro salida de gases M33294 Drager </t>
  </si>
  <si>
    <t>(7) Salas de cirugía</t>
  </si>
  <si>
    <t xml:space="preserve"> interruptores de encendido de los succionadores de NEW ASKIR 30</t>
  </si>
  <si>
    <t>Terapia respiratoria</t>
  </si>
  <si>
    <t>TOCO DE ULTRASONIDO EDAN F3</t>
  </si>
  <si>
    <t xml:space="preserve">Ginecologia </t>
  </si>
  <si>
    <t>HOJA DE VIDEOLARINGOSCOPIO N# 3</t>
  </si>
  <si>
    <t>Cuerpo de Válvula exhalatoria. VENTILADOR VELA</t>
  </si>
  <si>
    <t>SOLICITADO POR CORREO</t>
  </si>
  <si>
    <t>Manguera para conexión PNI UMEC10</t>
  </si>
  <si>
    <t>(1) Urgencias adulto (1) Hospitalización (1) Salas cx</t>
  </si>
  <si>
    <t>Trauma urgencia adultos 1, 2 y 3</t>
  </si>
  <si>
    <t>Hospitalizacion 3a y 2d</t>
  </si>
  <si>
    <t>Reanimacion adultos, observacion pediatria y hospitalizacion5 piso</t>
  </si>
  <si>
    <t>Reanimación urgencias pediatría, Triage 1 adultos y Sala de trauma</t>
  </si>
  <si>
    <t>Hospitazacion</t>
  </si>
  <si>
    <t>SWITCH 4 PINES DE ENCENDIDO DEL SUCCIONADOR CA-MI NEW ASKIR 30.</t>
  </si>
  <si>
    <t>BRAZALETE ADULTO  1 VIA LAVABLE - REUSABLE AZUL</t>
  </si>
  <si>
    <t>2 Urgencias adultos y 3 hospitalizacion (2C, 2D y 5B)</t>
  </si>
  <si>
    <t>SENSOR DE PIEL INCUBADORA  DRAGER   modelo: TI 500</t>
  </si>
  <si>
    <t>Adaptacion neonatal</t>
  </si>
  <si>
    <t>Salas de cirugia 4 piso (2), urgencia adultos(1) y Hospitalizacion 2C(1)</t>
  </si>
  <si>
    <t>CABLE DE ECG 5 DERIVADAS MONITOR DE SIGNOS MEC 1200</t>
  </si>
  <si>
    <t>1 Urgencias, 1 hospitalizacion 1 cirugia</t>
  </si>
  <si>
    <t>ACOPLE RAPIDO MEDIOGIRO PLASTICO NIBP (MACHO Y HEMBRA) BRAZALETE 1 VIA ADULTO</t>
  </si>
  <si>
    <t>Hopitalizacion 5 y urgencias 5 y resonancia magnetica</t>
  </si>
  <si>
    <t>ACOPLE METALICO NIBP  BRAZALETE 1 VIA ADULTO</t>
  </si>
  <si>
    <t>Cirugia 4 piso</t>
  </si>
  <si>
    <t>Bombillo Equipo de organo welch allyn Ref: 4900</t>
  </si>
  <si>
    <t>Juego de Electrovalvulas Mindray UMEC 10</t>
  </si>
  <si>
    <t>Hospitalizacion 5B y cirugia 4 piso</t>
  </si>
  <si>
    <t>Sensor De Flujo G.E. Aestiva/5</t>
  </si>
  <si>
    <t>Gastroentelorogia</t>
  </si>
  <si>
    <t>PASTA CATALOGO DE 2</t>
  </si>
  <si>
    <t>Biomedica</t>
  </si>
  <si>
    <t>Acople NIBP MANGUERA-MONITOR TESLA M3 RESONADOR</t>
  </si>
  <si>
    <t>Solictado por correo asunto "REPORTE DAÑO DE CONECTOR DE PRESIÓN ARTERIAL MONITOR RM"</t>
  </si>
  <si>
    <t>Repedido</t>
  </si>
  <si>
    <t>SENSOR DE FLUJO SPIROLOC De Flujo Drager</t>
  </si>
  <si>
    <t xml:space="preserve">Salas de cirugia </t>
  </si>
  <si>
    <t>Cable ECG 5 Derivadas Drager INFINTY</t>
  </si>
  <si>
    <t>TOCO ACTIVIDAD UTERINA PARA MONITOR FETAL COROMETRICS 170</t>
  </si>
  <si>
    <t>BRAZALETE ADULTO  2 VIA LAVABLE - REUSABLE AZUL</t>
  </si>
  <si>
    <t>Pila CR1220</t>
  </si>
  <si>
    <t>Salas de cirugia</t>
  </si>
  <si>
    <t xml:space="preserve">Bombillo Halogeno 24 v 150W </t>
  </si>
  <si>
    <t>Q252931</t>
  </si>
  <si>
    <t>Hospitalizacion 2A</t>
  </si>
  <si>
    <t xml:space="preserve">Clams para estribos y </t>
  </si>
  <si>
    <t>Salas de cirugia pedido en julio adjunto imagen y cotizacion con especificaciones</t>
  </si>
  <si>
    <t>Soporte elevados para brazo</t>
  </si>
  <si>
    <t>Trabajo de parto</t>
  </si>
  <si>
    <t>BRAZALETE ADULTO  1 VIA LAVABLE - REUSABLE</t>
  </si>
  <si>
    <t xml:space="preserve">Urgencias adultos, hospitalizacion, recuperacion y trabajo de aprto </t>
  </si>
  <si>
    <t>Hospitalizacion 5 piso, Urgencias pediatricas reanimacion y triage hospitalizacion 3b</t>
  </si>
  <si>
    <t>BRAZALETE ADULTO  2 VIA LAVABLE - REUSABLE</t>
  </si>
  <si>
    <t>Consulta externa, Hospitalizacion sala VII, Urgencias adultos y centro medico</t>
  </si>
  <si>
    <t>Lampara xenon olympus MAJ - 1817</t>
  </si>
  <si>
    <t>Urgenica ginecologia</t>
  </si>
  <si>
    <t>Vaso vacutron VR - 1-W - Hospitecnica</t>
  </si>
  <si>
    <t>Adaptador 6V-0.8A de pin redondo</t>
  </si>
  <si>
    <r>
      <t xml:space="preserve">UrgenciasPediatria/Hospitalizacion </t>
    </r>
    <r>
      <rPr>
        <b/>
        <sz val="11"/>
        <color theme="1"/>
        <rFont val="Aptos Narrow"/>
        <family val="2"/>
        <scheme val="minor"/>
      </rPr>
      <t>solicitud por correo</t>
    </r>
  </si>
  <si>
    <t>Bateria desfibrilador TEC-56 Nihon koden</t>
  </si>
  <si>
    <t>Urgencia pediatria y cirugia 4 pios</t>
  </si>
  <si>
    <t>Hospitalizacion 5 (5a,2vip 3b, 2b, 2d) urgenica treuma( 2) cirugia (3)</t>
  </si>
  <si>
    <t>Hospitalizacion 2 y cirugia 4 piso 3</t>
  </si>
  <si>
    <t>Cirugia 4 piso adapatacion neonatal</t>
  </si>
  <si>
    <t xml:space="preserve">UCI Adultos </t>
  </si>
  <si>
    <t>Manguera de 1.5m con conecto diss a diss</t>
  </si>
  <si>
    <t>UCI Adultos B</t>
  </si>
  <si>
    <t>Celda de Oxigeno Ventilador Carefusion VELA comprehensive</t>
  </si>
  <si>
    <t>UCIA (2) Urgencia adultos (2) y urgencias pediatrica (2)</t>
  </si>
  <si>
    <t>Bateria de respaldo Ventilador Carefusion VELA comprehensive</t>
  </si>
  <si>
    <t>UCI A</t>
  </si>
  <si>
    <t>Trabajo de parto y Sala de partos</t>
  </si>
  <si>
    <t>SENSOR SPO2 IMEC 10 ADULTO</t>
  </si>
  <si>
    <t>Trabajo de parto (5), reanimacion adulto (2) hospitalizacion 2d (1) y trauma (1)</t>
  </si>
  <si>
    <t>Trauma 2 y reanimacion 2, trabajo de partos 5 y hospitalizacion 3 piso 1</t>
  </si>
  <si>
    <t>Hospitalizacion 2D , hospitalizacion 3A y hospitalizacion 5B</t>
  </si>
  <si>
    <t>Hospitalizacion(10), Urgencias(10)</t>
  </si>
  <si>
    <t>Hospitalizacion(5), Urgencias(5)</t>
  </si>
  <si>
    <t>Sonda De T° Incubadora Transporte Drager ref:MU06951</t>
  </si>
  <si>
    <t>C2586P0</t>
  </si>
  <si>
    <t>Cable ECG 5 Derivadas G.E. B650 con Pinza de agarre</t>
  </si>
  <si>
    <t>Conector rapido NIBP</t>
  </si>
  <si>
    <t>Adaptacion neonatal(2)</t>
  </si>
  <si>
    <t>Sensor temp drager infinity Adulto</t>
  </si>
  <si>
    <t>Sensor temp drager infinity  Pediatrico</t>
  </si>
  <si>
    <t>Brazalete NIBP Pediatrico</t>
  </si>
  <si>
    <t>Hospitalizacion(3), Urgencias(2)</t>
  </si>
  <si>
    <t>Brazalete NIBP Neonatal</t>
  </si>
  <si>
    <t>Salas(2)</t>
  </si>
  <si>
    <t>Salas(5)</t>
  </si>
  <si>
    <t>Lámpara de xenón 190 /Presentacion: UNIDAD /
Marca: OLYMPUS / Clasificacion de Riesgo: IIA /
Reg. Sanitario:2023DM-0010442-R1 /Ref. Fabrica:
N3645700</t>
  </si>
  <si>
    <t>Sensor De Temperatura Transesofágico Monitor De Signos Infinity Draguer</t>
  </si>
  <si>
    <t>(5) Salas de cirugía</t>
  </si>
  <si>
    <t>Cable ECG Monitor de Signos Infinity Draguer</t>
  </si>
  <si>
    <t>(1) Salas de cirugía</t>
  </si>
  <si>
    <t>(2) Urgencias (1) Ginecologia</t>
  </si>
  <si>
    <t>(5) Consulta Externa</t>
  </si>
  <si>
    <t>(5) Hospitalización (2) Ginecologia</t>
  </si>
  <si>
    <t xml:space="preserve">(2) Hospitalización </t>
  </si>
  <si>
    <t>Bateria Monitor Signos Vitales Infinity Draguer</t>
  </si>
  <si>
    <t>(3) Salas de cirugía</t>
  </si>
  <si>
    <t>Sonda de temperatura Drager Vista 120s (Trasesofagica) NEONATAL</t>
  </si>
  <si>
    <t>(2) Hospitalización (4) Urgencias (2) Salas de cirugía (2) Ginecologia</t>
  </si>
  <si>
    <t>Plancha calefactora sistema de alto flujo</t>
  </si>
  <si>
    <t>(1) UCI</t>
  </si>
  <si>
    <t>EXISTENCIAS</t>
  </si>
  <si>
    <t>SERVICIO</t>
  </si>
  <si>
    <t>ABINTRA SOBRE * 27GR</t>
  </si>
  <si>
    <t>M192241</t>
  </si>
  <si>
    <t>AGENDA ARGOLLADA</t>
  </si>
  <si>
    <t>A030062</t>
  </si>
  <si>
    <t>AGUA FRASCO * 300ML</t>
  </si>
  <si>
    <t>A020034</t>
  </si>
  <si>
    <t>AGUA OXIGENADA</t>
  </si>
  <si>
    <t>L012013</t>
  </si>
  <si>
    <t>AGUJA MULTIPLE VACUTAINER 21*1/2 CAJA*100</t>
  </si>
  <si>
    <t>A191016</t>
  </si>
  <si>
    <t>AGUJA SEMIRRIGIDA BISC 3.6 FR</t>
  </si>
  <si>
    <t>L511066</t>
  </si>
  <si>
    <t>AGUJAS VIUDAS</t>
  </si>
  <si>
    <t>L511056</t>
  </si>
  <si>
    <t>ALAMBRE CERCLAJE 1.25MM C0125</t>
  </si>
  <si>
    <t>A312891</t>
  </si>
  <si>
    <t>ALCOHOL ANTISEPTICO 70%  X 700ML</t>
  </si>
  <si>
    <t>L012015</t>
  </si>
  <si>
    <t>ALCOHOL GLICERINADO * LITRO</t>
  </si>
  <si>
    <t>L012017</t>
  </si>
  <si>
    <t>ALGODON ROLLO X 454 GR</t>
  </si>
  <si>
    <t>L012020</t>
  </si>
  <si>
    <t>ALTHERA * 450 GR</t>
  </si>
  <si>
    <t>M192207</t>
  </si>
  <si>
    <t>APLICADORES DE ALGODON MARCA PRODEMA</t>
  </si>
  <si>
    <t>L012023</t>
  </si>
  <si>
    <t>APLICADORES DE NITRATO DE PLATA</t>
  </si>
  <si>
    <t>L011001</t>
  </si>
  <si>
    <t>ARC ANTI HBC II CONTROL</t>
  </si>
  <si>
    <t>M192176</t>
  </si>
  <si>
    <t>ARC CONC BUFFER</t>
  </si>
  <si>
    <t>M192126</t>
  </si>
  <si>
    <t>ARC HTLV I/II CONTROL</t>
  </si>
  <si>
    <t>M192178</t>
  </si>
  <si>
    <t>ARC REACTION VESSELS</t>
  </si>
  <si>
    <t>M192123</t>
  </si>
  <si>
    <t>ARC SEPTUMS CAJA*200</t>
  </si>
  <si>
    <t>M192187</t>
  </si>
  <si>
    <t>ARC TRIGGER SOLUCION</t>
  </si>
  <si>
    <t>M192124</t>
  </si>
  <si>
    <t>ARCHITEC ANTI HBC II KIT X 100 PRUEBAS</t>
  </si>
  <si>
    <t>M192169</t>
  </si>
  <si>
    <t>ARCHITEC CHAGAS KIT X 100 PRUEBAS</t>
  </si>
  <si>
    <t>M192168</t>
  </si>
  <si>
    <t>ARCHITEC HBSAG CUALITATIVO X 100 PRUEBAS</t>
  </si>
  <si>
    <t>M192166</t>
  </si>
  <si>
    <t>ARCHITEC HCV KIT X 100 PRUEBAS</t>
  </si>
  <si>
    <t>M192165</t>
  </si>
  <si>
    <t>ARCHITEC HIV AG/AB  KIT X 100 PRUEBAS</t>
  </si>
  <si>
    <t>M192167</t>
  </si>
  <si>
    <t>ARCHITEC HTLV I/II KIT X 100 PRUEBAS</t>
  </si>
  <si>
    <t>M192171</t>
  </si>
  <si>
    <t>ARCHITEC SIFILIS KIT X 100 PRUEBAS</t>
  </si>
  <si>
    <t>M192170</t>
  </si>
  <si>
    <t>Aros De Bloqueo Cabezal De Equipo De Organos</t>
  </si>
  <si>
    <t>A250074</t>
  </si>
  <si>
    <t>ASA/ELECTRODO DE CORTE BIPOLAR 4653.1313</t>
  </si>
  <si>
    <t>A283014</t>
  </si>
  <si>
    <t>ASEPTIDINA * 60CC 4%</t>
  </si>
  <si>
    <t>L012202</t>
  </si>
  <si>
    <t>ASEPTIDINA JABON Qx *800ml CON CLORHEXIDINA</t>
  </si>
  <si>
    <t>L012237</t>
  </si>
  <si>
    <t>ASEPTIDINA JABON Qx SENSOR*800ml  CON CLORHEXIDINA</t>
  </si>
  <si>
    <t>L012236</t>
  </si>
  <si>
    <t>ASEPTIDINA SOLU TOPICA 2%* 60CC</t>
  </si>
  <si>
    <t>L012210</t>
  </si>
  <si>
    <t>ASEPTIGEL GEL ANTISEPTICO BOLSA *800</t>
  </si>
  <si>
    <t>L012205</t>
  </si>
  <si>
    <t>ASEPTIGERM BOLSA*800ml JABON ANTIBACTERIAL</t>
  </si>
  <si>
    <t>A023287</t>
  </si>
  <si>
    <t>AUDIFONOS PORTABLES ESTUCHE</t>
  </si>
  <si>
    <t>A020039</t>
  </si>
  <si>
    <t>AZUL METILENO</t>
  </si>
  <si>
    <t>A019986</t>
  </si>
  <si>
    <t>BAJALENGUAS CAJA * 100</t>
  </si>
  <si>
    <t>L012031</t>
  </si>
  <si>
    <t>BAJALENGUAS DE MADERA</t>
  </si>
  <si>
    <t>L012230</t>
  </si>
  <si>
    <t>BALON PARA ESTRAER CALCULOS BILIARES</t>
  </si>
  <si>
    <t>Q252605</t>
  </si>
  <si>
    <t>BANDAS DE CAUCHO KILO</t>
  </si>
  <si>
    <t>A031248</t>
  </si>
  <si>
    <t>BATA CIRUJANO CON PROTECTOR PLASTICO</t>
  </si>
  <si>
    <t>A301045</t>
  </si>
  <si>
    <t>BATA DESECHABLE</t>
  </si>
  <si>
    <t>L019679</t>
  </si>
  <si>
    <t>BATA DESECHABLE ANTIFLUIDO</t>
  </si>
  <si>
    <t>A010912</t>
  </si>
  <si>
    <t>BATA DESECHABLE ESTERIL</t>
  </si>
  <si>
    <t>A012197</t>
  </si>
  <si>
    <t>BATA ESTERIL</t>
  </si>
  <si>
    <t>L019687</t>
  </si>
  <si>
    <t>BATERIA  MINDRAY PM 8000</t>
  </si>
  <si>
    <t>Q252863</t>
  </si>
  <si>
    <t>BATERIA DE MONITOR UMEC 10</t>
  </si>
  <si>
    <t>Q250047</t>
  </si>
  <si>
    <t>Bateria Monitor Signos Vitales Procare 300</t>
  </si>
  <si>
    <t>BISTURI 18MM BAUKER</t>
  </si>
  <si>
    <t>A031049</t>
  </si>
  <si>
    <t>BISTURI PLASTICO ENCAUCHETADO</t>
  </si>
  <si>
    <t>A031101</t>
  </si>
  <si>
    <t>BNS PROTEINA WHEY AISLADA*36gr</t>
  </si>
  <si>
    <t>M192222</t>
  </si>
  <si>
    <t>BOLSA AUTOSELLABLE 135*280mm*200</t>
  </si>
  <si>
    <t>A271015</t>
  </si>
  <si>
    <t>BOLSA AUTOSELLABLE 190*330mm X 200UN</t>
  </si>
  <si>
    <t>A271008</t>
  </si>
  <si>
    <t>BOLSA AUTOSELLABLE 250*370mm X 200UN</t>
  </si>
  <si>
    <t>A271007</t>
  </si>
  <si>
    <t>BOLSA AUTOSELLABLE 70*230 X 200</t>
  </si>
  <si>
    <t>A271014</t>
  </si>
  <si>
    <t>BOLSA AUTOSELLABLE 90*260mm X 200UN</t>
  </si>
  <si>
    <t>A271009</t>
  </si>
  <si>
    <t>BOLSA BASURA NEGRA 100X80</t>
  </si>
  <si>
    <t>A023018</t>
  </si>
  <si>
    <t>BOLSA BASURA NEGRA PARA COMPACTADORA</t>
  </si>
  <si>
    <t>A023020</t>
  </si>
  <si>
    <t>BOLSA BASURA ROJA C2 100*80</t>
  </si>
  <si>
    <t>A023021</t>
  </si>
  <si>
    <t>BOLSA BLANCA C2 100*80</t>
  </si>
  <si>
    <t>A023280</t>
  </si>
  <si>
    <t>BOLSA BLANCA C2 50*60</t>
  </si>
  <si>
    <t>A023279</t>
  </si>
  <si>
    <t>BOLSA COLECTORA DE SANGRE TRIPLE CON CPD-SAGM TOP AND BOTTON</t>
  </si>
  <si>
    <t>A191032</t>
  </si>
  <si>
    <t>BOLSA CUADRUPLE ALICUOTA</t>
  </si>
  <si>
    <t>L531358</t>
  </si>
  <si>
    <t>BOLSA DE SELLO HERMETICO 4 X 3</t>
  </si>
  <si>
    <t>A030068</t>
  </si>
  <si>
    <t>BOLSA NEGRA C2 100*80</t>
  </si>
  <si>
    <t>A023278</t>
  </si>
  <si>
    <t>BOLSA NEGRA C2 50*50</t>
  </si>
  <si>
    <t>A023076</t>
  </si>
  <si>
    <t>BOLSA NEGRA C2 50*60</t>
  </si>
  <si>
    <t>A023277</t>
  </si>
  <si>
    <t xml:space="preserve">BOLSA PLASTICA 2M*60 C2 ESTERILIZACION </t>
  </si>
  <si>
    <t>A023270</t>
  </si>
  <si>
    <t>BOLSA ROJA C2 50*50</t>
  </si>
  <si>
    <t>A023031</t>
  </si>
  <si>
    <t>BOLSA ROJA C2 50*60</t>
  </si>
  <si>
    <t>A023224</t>
  </si>
  <si>
    <t>BOLSA SELLE HERMETICO</t>
  </si>
  <si>
    <t>A030067</t>
  </si>
  <si>
    <t>BOLSA SELLO HERMETICO 3X4</t>
  </si>
  <si>
    <t>A039297</t>
  </si>
  <si>
    <t>BOLSA TRANSPARENTE 110*210CM CAL4</t>
  </si>
  <si>
    <t>A023034</t>
  </si>
  <si>
    <t>BOLSA TRANSPARENTE 20x31</t>
  </si>
  <si>
    <t>A023033</t>
  </si>
  <si>
    <t>BOLSA TRANSPARENTE 60X60CM</t>
  </si>
  <si>
    <t>A023243</t>
  </si>
  <si>
    <t>BOLSA TRANSPARENTE 9*14*1</t>
  </si>
  <si>
    <t>A023240</t>
  </si>
  <si>
    <t>BOLSA ZIPER DE 18X22</t>
  </si>
  <si>
    <t>A023246</t>
  </si>
  <si>
    <t>BOLSILLO PLASTICA CATALOGO</t>
  </si>
  <si>
    <t>A031013</t>
  </si>
  <si>
    <t>Bombillo Laringoscopío Ref: 3900</t>
  </si>
  <si>
    <t>A171028</t>
  </si>
  <si>
    <t>Bombillo Laringoscopío Ref: 4700</t>
  </si>
  <si>
    <t>A171027</t>
  </si>
  <si>
    <t>Bombillo Laringoscopío Ref: 4800</t>
  </si>
  <si>
    <t>A171026</t>
  </si>
  <si>
    <t>Bombillo Xenon 300W Olympus</t>
  </si>
  <si>
    <t>A171087</t>
  </si>
  <si>
    <t>BORRADOR DE NATA</t>
  </si>
  <si>
    <t>A031018</t>
  </si>
  <si>
    <t>BRAZALETE 2 VIAS INFANTIL DE 9 A 14.8 CM</t>
  </si>
  <si>
    <t>Q283246</t>
  </si>
  <si>
    <t>Brazalete Adulto De 2 Vias Bariatrica Medida ( 33 - 47 )</t>
  </si>
  <si>
    <t>Q250040</t>
  </si>
  <si>
    <t>BRAZALETE DRAEGER S 17-25/29</t>
  </si>
  <si>
    <t>Q250021</t>
  </si>
  <si>
    <t>BRAZALETE DRAEGER XS 12-19</t>
  </si>
  <si>
    <t>Q250024</t>
  </si>
  <si>
    <t>Brazalete Neonatal De 2 Vias   Medida ( 18 - 26 )</t>
  </si>
  <si>
    <t>Q252752</t>
  </si>
  <si>
    <t>Brazalete Neonatal De 2 Vias  Medida ( 13,8 - 21,5 )</t>
  </si>
  <si>
    <t>Brazalete Neonatal De 2 Vias Medida ( 7 - 13)</t>
  </si>
  <si>
    <t>Brazalete Neonatal De1 Via Desechable Medida ( 7 - 13)</t>
  </si>
  <si>
    <t>Q252739</t>
  </si>
  <si>
    <t>BRAZALETE UNA VIA CHILD 13.8-21.5 CM</t>
  </si>
  <si>
    <t>CABLE COMUNI TARJETA MONITOR BOART</t>
  </si>
  <si>
    <t>A250164</t>
  </si>
  <si>
    <t>CABLE DE CONEXION CON TERMINAL MONOPOLAR DE 4MM</t>
  </si>
  <si>
    <t>Q283307</t>
  </si>
  <si>
    <t>CABLE DE FIBRA OPTICA 5MM X 10 REF 02330502065</t>
  </si>
  <si>
    <t>A061223</t>
  </si>
  <si>
    <t>Cable de Temperatura de Tromboelastografo</t>
  </si>
  <si>
    <t>A2500110</t>
  </si>
  <si>
    <t>Cable ECG 3 derivadas GENERAL ELECTRIC (desfibrilador responder 2000)</t>
  </si>
  <si>
    <t>Q250041</t>
  </si>
  <si>
    <t>CABLE ECG 3 DERIVADAS MINDRAY PM8000 y Mec1200</t>
  </si>
  <si>
    <t>Q252804</t>
  </si>
  <si>
    <t>CABLE ECG 5 DER 1PIN MP03404</t>
  </si>
  <si>
    <t>Cable ECG 3 Derivadas G.E. B650</t>
  </si>
  <si>
    <t>CABLE ENCAUCHETADO DE 4X12</t>
  </si>
  <si>
    <t>A211216</t>
  </si>
  <si>
    <t>Cable Extensor De Oximetro MSV Veris</t>
  </si>
  <si>
    <t>A251156</t>
  </si>
  <si>
    <t>Cable HDMI 9 Metros</t>
  </si>
  <si>
    <t>A209997</t>
  </si>
  <si>
    <t>Cable interfaz Entropia Para Msv DATEX- OHMEDA GE</t>
  </si>
  <si>
    <t>Q252888</t>
  </si>
  <si>
    <t>CABLE MULTIPARAMETRO MS20094 SPO2</t>
  </si>
  <si>
    <t>CABLE PLACA ELECTRO</t>
  </si>
  <si>
    <t>Q283208</t>
  </si>
  <si>
    <t>CABLE SpO2 INTERMEDIO MS18683</t>
  </si>
  <si>
    <t>CAJA C/DIVIONES 38</t>
  </si>
  <si>
    <t>A020101</t>
  </si>
  <si>
    <t>CAJA C/DIVISIONES 29</t>
  </si>
  <si>
    <t>A020100</t>
  </si>
  <si>
    <t>CAJA COPAS TRASPARENTES REF 6211</t>
  </si>
  <si>
    <t>A190007</t>
  </si>
  <si>
    <t>CAJA MONSER 1 MEDIA 11 LT</t>
  </si>
  <si>
    <t>A023307</t>
  </si>
  <si>
    <t>CAJA PLASTICA 0.6 LT</t>
  </si>
  <si>
    <t>A021029</t>
  </si>
  <si>
    <t>CAJA PLASTICA 17LT</t>
  </si>
  <si>
    <t>A020059</t>
  </si>
  <si>
    <t>CAJA PLASTICA 3 LT</t>
  </si>
  <si>
    <t>A021028</t>
  </si>
  <si>
    <t>CAJA PLASTICA 5 LTS</t>
  </si>
  <si>
    <t>A029710</t>
  </si>
  <si>
    <t>CAJA PLASTICA DE 2.75 L</t>
  </si>
  <si>
    <t>A021059</t>
  </si>
  <si>
    <t>Cajon Impresora Monitor Fetal GE</t>
  </si>
  <si>
    <t>A250055</t>
  </si>
  <si>
    <t>CAL SODADA BIDON 4.5 K</t>
  </si>
  <si>
    <t>Q252788</t>
  </si>
  <si>
    <t>CAMARA DE HOOD EN ACRILICO KRAMER MEDIANO</t>
  </si>
  <si>
    <t>L268045</t>
  </si>
  <si>
    <t>CAMARA HOOD KRAMER PEQUEÑA</t>
  </si>
  <si>
    <t>L268050</t>
  </si>
  <si>
    <t>CANASTAS GRIS 60*40*25 CM</t>
  </si>
  <si>
    <t>A021064</t>
  </si>
  <si>
    <t>CANASTILLA PLASTICA TAPA AMARILLA</t>
  </si>
  <si>
    <t>A021062</t>
  </si>
  <si>
    <t>CANECA 65LT ROJA</t>
  </si>
  <si>
    <t>A021057</t>
  </si>
  <si>
    <t>CANECA BLANCA 20 LT TAPA PEDAL</t>
  </si>
  <si>
    <t>A020096</t>
  </si>
  <si>
    <t>CANECA NEGRA 12LT TAPA PEDAL</t>
  </si>
  <si>
    <t>A023283</t>
  </si>
  <si>
    <t>CANECA NEGRA 20LT TAPA PEDAL</t>
  </si>
  <si>
    <t>A023284</t>
  </si>
  <si>
    <t>CANECA ROJA 10LT TAPA VAIVEN</t>
  </si>
  <si>
    <t>A020006</t>
  </si>
  <si>
    <t>CANECA ROJA 12 LITROS TAPA PEDAL</t>
  </si>
  <si>
    <t>A023116</t>
  </si>
  <si>
    <t>CANECA ROJA 20 LTTAPA PEDAL</t>
  </si>
  <si>
    <t>A023122</t>
  </si>
  <si>
    <t>CANULA NASAL HIGF/FLOW NEONATAL UCIN</t>
  </si>
  <si>
    <t>Q250049</t>
  </si>
  <si>
    <t>CANULA NASAL HIGT/FLOWLACTANTE2 UCIN</t>
  </si>
  <si>
    <t>Q250050</t>
  </si>
  <si>
    <t>CANULA NASAL LARGE OPT944E</t>
  </si>
  <si>
    <t>Q250036</t>
  </si>
  <si>
    <t>CANULA NASAL MEDIUM OPT944E</t>
  </si>
  <si>
    <t>Q250035</t>
  </si>
  <si>
    <t>CANULA NASAL PEDIATRICA HIGH FLOW</t>
  </si>
  <si>
    <t>Q250048</t>
  </si>
  <si>
    <t xml:space="preserve">CANULA NASAL PEDIATRICA HIGH FLOW  DE 5 A  40 LITROS </t>
  </si>
  <si>
    <t xml:space="preserve">Q250048 </t>
  </si>
  <si>
    <t>CANULA NASAL PEDIATRICA TALLA L RESPICARE</t>
  </si>
  <si>
    <t>Q250043</t>
  </si>
  <si>
    <t>CANULA NASAL PEDIATRICA TALLA S RESPICARE</t>
  </si>
  <si>
    <t>Q250042</t>
  </si>
  <si>
    <t>CANULA NASAL SMALL PEDIATRICA HIGH FLOW</t>
  </si>
  <si>
    <t>Q250052</t>
  </si>
  <si>
    <t>CANULA OPTIFLOW L REF OJR416</t>
  </si>
  <si>
    <t>Q250045</t>
  </si>
  <si>
    <t>CANULA OPTIFLOW XL REF OJR418</t>
  </si>
  <si>
    <t>Q250046</t>
  </si>
  <si>
    <t>CARNET DE DONANTES DE SANGRE</t>
  </si>
  <si>
    <t>A031044</t>
  </si>
  <si>
    <t>CARPETA PLASTICA</t>
  </si>
  <si>
    <t>A031070</t>
  </si>
  <si>
    <t>CARTILLA DRA AMY</t>
  </si>
  <si>
    <t>A040006</t>
  </si>
  <si>
    <t>CATETER FOGARTY 3</t>
  </si>
  <si>
    <t>L263121</t>
  </si>
  <si>
    <t>CATETER FOGARTY 4</t>
  </si>
  <si>
    <t>L263122</t>
  </si>
  <si>
    <t>CD DVD</t>
  </si>
  <si>
    <t>A031074</t>
  </si>
  <si>
    <t>CD-R</t>
  </si>
  <si>
    <t>A031055</t>
  </si>
  <si>
    <t>Celda de Oxigeno Ventilador VG70 Aeonmed</t>
  </si>
  <si>
    <t>A259697</t>
  </si>
  <si>
    <t>CEPILLO PLASTICO DE MANO</t>
  </si>
  <si>
    <t>A022003</t>
  </si>
  <si>
    <t>CHAGAS CALIBRATOR</t>
  </si>
  <si>
    <t>M192186</t>
  </si>
  <si>
    <t>CHURRUSCO LAVA TETEROS</t>
  </si>
  <si>
    <t>A023050</t>
  </si>
  <si>
    <t>CIDEX OPA</t>
  </si>
  <si>
    <t>L012041</t>
  </si>
  <si>
    <t>CINTA COLOR PARA MARCAR INSTRUMENTAL</t>
  </si>
  <si>
    <t>A202662</t>
  </si>
  <si>
    <t>CINTA CONTROL EXPOSICION REF 1228 PARA PEROXIDO DE HIDROGENO</t>
  </si>
  <si>
    <t>Q252887</t>
  </si>
  <si>
    <t>CINTA ENMASCARAR 48MM*37M</t>
  </si>
  <si>
    <t>A031250</t>
  </si>
  <si>
    <t>CINTA ENMASCARAR COLOR NARANJA</t>
  </si>
  <si>
    <t>A035888</t>
  </si>
  <si>
    <t>CINTA INDICADORA  DE VAPOR</t>
  </si>
  <si>
    <t>Q272823</t>
  </si>
  <si>
    <t>CINTA INDICADORA DE CONCENTRACION DE GLUTARALDEHIDO</t>
  </si>
  <si>
    <t>Q272872</t>
  </si>
  <si>
    <t>CINTA INVISIBLE</t>
  </si>
  <si>
    <t>A031234</t>
  </si>
  <si>
    <t>CINTA MEDICA ADHESIVO M&amp;H 10*15</t>
  </si>
  <si>
    <t>L541098</t>
  </si>
  <si>
    <t>CINTA SELLAR ANCHA</t>
  </si>
  <si>
    <t>A031047</t>
  </si>
  <si>
    <t>CINTURON DE OJALES PARA MONITOR FETAL</t>
  </si>
  <si>
    <t>Q283040</t>
  </si>
  <si>
    <t>CINTURON METALICO</t>
  </si>
  <si>
    <t>A301093</t>
  </si>
  <si>
    <t>CIRCUITO ALTO FLUJO REF.RT330 OPTIFLOW JUNIOR</t>
  </si>
  <si>
    <t>Q250029</t>
  </si>
  <si>
    <t>CIRCUITO ANESTESIA ADULTO INTERSURGICAL</t>
  </si>
  <si>
    <t>L263021</t>
  </si>
  <si>
    <t>CIRCUITO DE ANESTESIA ADULTO</t>
  </si>
  <si>
    <t>L263023</t>
  </si>
  <si>
    <t>CIRCUITO DESECHABLE HIGH FLOW</t>
  </si>
  <si>
    <t>L263186</t>
  </si>
  <si>
    <t xml:space="preserve">CIRCUITO DESECHABLE HIGH FLOW  DE 8  LITROS   </t>
  </si>
  <si>
    <t>L263193</t>
  </si>
  <si>
    <t>CIRCUITO DESECHABLE SIN MASCARA</t>
  </si>
  <si>
    <t>L263150</t>
  </si>
  <si>
    <t>CIRCUITO DPC HIHG FLOW 5 A 40 LITROS</t>
  </si>
  <si>
    <t>L263192</t>
  </si>
  <si>
    <t>CIRCUITO DRAGUER NEONATAL (VAFO)</t>
  </si>
  <si>
    <t>Q250060</t>
  </si>
  <si>
    <t>CIRCUITO MAPLESON 1 LT</t>
  </si>
  <si>
    <t>Q252879</t>
  </si>
  <si>
    <t>CIRCUITO MAPLESON 1/2</t>
  </si>
  <si>
    <t>Q252632</t>
  </si>
  <si>
    <t>CIRCUITO RESPICARE</t>
  </si>
  <si>
    <t>L263009</t>
  </si>
  <si>
    <t>CIRCUITO UNIVERSAL PEDIATRICO</t>
  </si>
  <si>
    <t>L263044</t>
  </si>
  <si>
    <t>CIRCUITO VENTILADOR UNIVERSAL NEONATAL</t>
  </si>
  <si>
    <t>L263043</t>
  </si>
  <si>
    <t>CLIP HEMOSTATICO ML VERDE</t>
  </si>
  <si>
    <t>A281035</t>
  </si>
  <si>
    <t>CLIP LIGADURA 5mm HC-L HEMOSTATICO EN POLIMERO</t>
  </si>
  <si>
    <t>A280161</t>
  </si>
  <si>
    <t>CLIP LIGADURA 7mm HC-XL HEMOSTATICO EN POLIMERO</t>
  </si>
  <si>
    <t>A280162</t>
  </si>
  <si>
    <t>CLIPS MARIPOSA</t>
  </si>
  <si>
    <t>A031033</t>
  </si>
  <si>
    <t>COAGULADOR SUCCION CONTROL MANUAL</t>
  </si>
  <si>
    <t>Q283237</t>
  </si>
  <si>
    <t>COJIN PORTABLE PARA DESCANSO</t>
  </si>
  <si>
    <t>A300006</t>
  </si>
  <si>
    <t>COLCHON CLINICO 0.90 * 1.90</t>
  </si>
  <si>
    <t>A101017</t>
  </si>
  <si>
    <t>Colchoneta Para Mesa De Cirugia</t>
  </si>
  <si>
    <t>A100021</t>
  </si>
  <si>
    <t>COMPLY BOWIE DICK PLUS TE R.00135LF X 30</t>
  </si>
  <si>
    <t>Q272896</t>
  </si>
  <si>
    <t>COMPRESA ESTERIL</t>
  </si>
  <si>
    <t>Q272826</t>
  </si>
  <si>
    <t>Conector De Placa De Retorno (REM)</t>
  </si>
  <si>
    <t>A250035</t>
  </si>
  <si>
    <t>CONECTOR EN Y PT000164</t>
  </si>
  <si>
    <t>L263181</t>
  </si>
  <si>
    <t>CONTROL ACURRUN POSITIVO MULTIMARCADOR SC A001-2705-P</t>
  </si>
  <si>
    <t>A130001</t>
  </si>
  <si>
    <t>CONTROL DE CALIDAD INTERNO</t>
  </si>
  <si>
    <t>A130015</t>
  </si>
  <si>
    <t>CONTROL GLUCOMETRO NIVEL 1</t>
  </si>
  <si>
    <t>A191046</t>
  </si>
  <si>
    <t>CONTROL GLUCOMETRO NIVEL 3</t>
  </si>
  <si>
    <t>A191047</t>
  </si>
  <si>
    <t>CONTROL NIVEL II  REF 8002</t>
  </si>
  <si>
    <t>A190005</t>
  </si>
  <si>
    <t>COPA DESECHABLE 1ONZ</t>
  </si>
  <si>
    <t>A023104</t>
  </si>
  <si>
    <t>Correa delgada Maquet (Belt with metal lock) ref 85016044</t>
  </si>
  <si>
    <t>A284545</t>
  </si>
  <si>
    <t>Correa gruesa Maquet (Fixation belt) ref: 31012754</t>
  </si>
  <si>
    <t>A204546</t>
  </si>
  <si>
    <t>CORRECTOR LIQUIDO</t>
  </si>
  <si>
    <t>A031051</t>
  </si>
  <si>
    <t>COSEDORA RANK 570</t>
  </si>
  <si>
    <t>A031235</t>
  </si>
  <si>
    <t>COTONOIDE EN ALGODON LAMINADO</t>
  </si>
  <si>
    <t>L012152</t>
  </si>
  <si>
    <t>CPD/OPTISAL CUADRUPLE 450ML SARM PB-4AG456L24</t>
  </si>
  <si>
    <t>A191015</t>
  </si>
  <si>
    <t>CUADERNO GRANDE</t>
  </si>
  <si>
    <t>A031031</t>
  </si>
  <si>
    <t>CUBETAS SENSIBILIZADAS PARA DETERMINACION DE HEMOGLOBINA</t>
  </si>
  <si>
    <t>A131037</t>
  </si>
  <si>
    <t>CUCHILLA DERMATOMO PADGETT</t>
  </si>
  <si>
    <t>Q283235</t>
  </si>
  <si>
    <t>CUCHILLA PARA CONECTOR ESTERIL</t>
  </si>
  <si>
    <t>L531000</t>
  </si>
  <si>
    <t>CURAS REDONDAS CAJA*100</t>
  </si>
  <si>
    <t>L012134</t>
  </si>
  <si>
    <t>DELANTAL PLASTICO</t>
  </si>
  <si>
    <t>A023172</t>
  </si>
  <si>
    <t>DETERGENTE CONVENCIONAL</t>
  </si>
  <si>
    <t>A023002</t>
  </si>
  <si>
    <t>DETERGENTE ENZIMATICO PROLYSTICA * 3780ML</t>
  </si>
  <si>
    <t>L012421</t>
  </si>
  <si>
    <t>DIBEN DRINK VAINILLA 200ml</t>
  </si>
  <si>
    <t>M192224</t>
  </si>
  <si>
    <t>DISPOSITIVO PARA LA EXTRACCION DE CUERPOS EXTRAÑOS Y POLIPOS</t>
  </si>
  <si>
    <t>A091059</t>
  </si>
  <si>
    <t>DREN 10MM PT.P3-1004</t>
  </si>
  <si>
    <t>A283000</t>
  </si>
  <si>
    <t>DREN ACANALADO DE SILICONA BLAKE 3/16</t>
  </si>
  <si>
    <t>A283024</t>
  </si>
  <si>
    <t>ELECTRODO BIS PEDIATRICO REF 1860200</t>
  </si>
  <si>
    <t>L640030</t>
  </si>
  <si>
    <t>ELECTRODO BIS REF 186-0106</t>
  </si>
  <si>
    <t>L640005</t>
  </si>
  <si>
    <t>ELECTRODO DE CORTE BIPOLAR 24 F</t>
  </si>
  <si>
    <t>A283013</t>
  </si>
  <si>
    <t>ENDOBRUSH SCOPE VALET 6mmX230 345EBL</t>
  </si>
  <si>
    <t>A250161</t>
  </si>
  <si>
    <t>ENDOPROTESIS INTRAC. DE RECONSTRUCCION ARTERIAL SILK V</t>
  </si>
  <si>
    <t>A270193</t>
  </si>
  <si>
    <t>ENFAMIL PREMATUROS PREMIUN * 2 ONZAS</t>
  </si>
  <si>
    <t>M192257</t>
  </si>
  <si>
    <t>ENFAMIL PREMIUN 1 * 2 ONZAS</t>
  </si>
  <si>
    <t>M192256</t>
  </si>
  <si>
    <t>ENSURE CLINICAL BOTELLA * 220ML</t>
  </si>
  <si>
    <t>M192221</t>
  </si>
  <si>
    <t>ENSURE COMPACT BOTELLA * 125ML</t>
  </si>
  <si>
    <t>M192218</t>
  </si>
  <si>
    <t>ENSURE PLUS HN 220ML</t>
  </si>
  <si>
    <t>M192225</t>
  </si>
  <si>
    <t>ENSURE PLUS HN LPC * 1000ML</t>
  </si>
  <si>
    <t>M192148</t>
  </si>
  <si>
    <t>ENTEREX DB - CAL BOTELLA * 237ML</t>
  </si>
  <si>
    <t>M192209</t>
  </si>
  <si>
    <t>ENVOLVEDERA 120 X 120</t>
  </si>
  <si>
    <t>Q272882</t>
  </si>
  <si>
    <t>ENVOLVEDERA PARA ESTERILIZAR 115 X 115</t>
  </si>
  <si>
    <t>Q272838</t>
  </si>
  <si>
    <t>EQUIPO DE TRANSFUSION DE SANGRE TUB800B</t>
  </si>
  <si>
    <t>L531350</t>
  </si>
  <si>
    <t>EQUIPO TRANSFUSION PLAQUETAS TH*A200B</t>
  </si>
  <si>
    <t>L531342</t>
  </si>
  <si>
    <t>ESCARAPELAS 8.6 X 5.4 CM</t>
  </si>
  <si>
    <t>A031158</t>
  </si>
  <si>
    <t>ESFEROS NEGROS</t>
  </si>
  <si>
    <t>A031024</t>
  </si>
  <si>
    <t>ESFEROS ROJOS</t>
  </si>
  <si>
    <t>A031292</t>
  </si>
  <si>
    <t>ESPARADRAPO TELA</t>
  </si>
  <si>
    <t>L012053</t>
  </si>
  <si>
    <t>ESPECULO DESECHABLE</t>
  </si>
  <si>
    <t>L012142</t>
  </si>
  <si>
    <t>ESPECULOS AURICULARES PLASTICOS PAQ</t>
  </si>
  <si>
    <t>A091005</t>
  </si>
  <si>
    <t>ESPONJILLA LA MAQUINA</t>
  </si>
  <si>
    <t>A023071</t>
  </si>
  <si>
    <t>ESTIBA PLASTICA</t>
  </si>
  <si>
    <t>A023196</t>
  </si>
  <si>
    <t>ESTIBA PLASTICA  60 X 60 CM</t>
  </si>
  <si>
    <t>A202977</t>
  </si>
  <si>
    <t>ESTOQUINETA 3*12</t>
  </si>
  <si>
    <t>L012163</t>
  </si>
  <si>
    <t>ESTOQUINETA 4*12</t>
  </si>
  <si>
    <t>L012162</t>
  </si>
  <si>
    <t>ESTOQUINETA 6 * 12</t>
  </si>
  <si>
    <t>L012161</t>
  </si>
  <si>
    <t>ETIQUETA  CIRCULAR  VERDE BICHE</t>
  </si>
  <si>
    <t>A031452</t>
  </si>
  <si>
    <t>ETIQUETA CIRCULAR  AMARILLA</t>
  </si>
  <si>
    <t>A031450</t>
  </si>
  <si>
    <t>ETIQUETA CIRCULAR  FUCSIA</t>
  </si>
  <si>
    <t>A031451</t>
  </si>
  <si>
    <t>ETIQUETA CIRCULAR BLANCA</t>
  </si>
  <si>
    <t>A031444</t>
  </si>
  <si>
    <t>ETIQUETA CIRCULAR GRIS</t>
  </si>
  <si>
    <t>A031442</t>
  </si>
  <si>
    <t>ETIQUETA CIRCULAR NARANJA</t>
  </si>
  <si>
    <t>A031443</t>
  </si>
  <si>
    <t>ETIQUETA PUNTA REDONDA 10CM*7.3CM</t>
  </si>
  <si>
    <t>A031445</t>
  </si>
  <si>
    <t>ETIQUETA TERMICA DIRECTA 10 X 90  ROLLO*500 UN</t>
  </si>
  <si>
    <t>A031129</t>
  </si>
  <si>
    <t>ETIQUETAS TERMICA DIRECTA 6X3 ROLLO * 1800 UN</t>
  </si>
  <si>
    <t>A031128</t>
  </si>
  <si>
    <t>EXTENSION DOBLE SWIVEL CATETER MOUNT</t>
  </si>
  <si>
    <t>A281025</t>
  </si>
  <si>
    <t>FIBRA ABRASIVA</t>
  </si>
  <si>
    <t>A023073</t>
  </si>
  <si>
    <t>Fijador radial para barras de 16 - 18 mm ref: 1003.23C0</t>
  </si>
  <si>
    <t>A204549</t>
  </si>
  <si>
    <t>FILTER EXHALATION SPU DX800 - REF 4-076887-00</t>
  </si>
  <si>
    <t>Q250020</t>
  </si>
  <si>
    <t>FILTRO CARE STAR 30 ML</t>
  </si>
  <si>
    <t>A250033</t>
  </si>
  <si>
    <t>FILTRO D/FLEX FLTR 22mm ISO 12/BX</t>
  </si>
  <si>
    <t>Q250019</t>
  </si>
  <si>
    <t>FILTRO DESLE PLAQUETAS</t>
  </si>
  <si>
    <t>L531351</t>
  </si>
  <si>
    <t>FILTRO DESLEUCOCITADOR GLOBULOS ROJOS</t>
  </si>
  <si>
    <t>L531353</t>
  </si>
  <si>
    <t xml:space="preserve">Filtro exhalatorio 760 reusable </t>
  </si>
  <si>
    <t>A250105</t>
  </si>
  <si>
    <t>FILTRO EXHALATORIO DESECHABLE REF:4-076408-00</t>
  </si>
  <si>
    <t>L263149</t>
  </si>
  <si>
    <t>FILTRO INSPIRATORIO 4-074600-00 REUSO</t>
  </si>
  <si>
    <t>A250036</t>
  </si>
  <si>
    <t>Filtro inspiratorio PB 760/840 reusable</t>
  </si>
  <si>
    <t>A250104</t>
  </si>
  <si>
    <t>FILTRO SUCCIONADOR THOMAS</t>
  </si>
  <si>
    <t>Q252718</t>
  </si>
  <si>
    <t>FIXOMULL STRECH 15CMX10MT</t>
  </si>
  <si>
    <t>L541384</t>
  </si>
  <si>
    <t>FOCUS FCS9 TIJERA</t>
  </si>
  <si>
    <t>A091227</t>
  </si>
  <si>
    <t>FOCUS LONG TIJERA CURVA 17CM FCS17</t>
  </si>
  <si>
    <t>A091646</t>
  </si>
  <si>
    <t>FORMATO DE SUGERENCIAS BLANCO Y NEGRO</t>
  </si>
  <si>
    <t>A041206</t>
  </si>
  <si>
    <t>FORROS CD</t>
  </si>
  <si>
    <t>A031206</t>
  </si>
  <si>
    <t>FORROS P/CILINDROS DE GASES MEDICINALES</t>
  </si>
  <si>
    <t>A021040</t>
  </si>
  <si>
    <t>FRASCO ENVASE ATOMIZADOR</t>
  </si>
  <si>
    <t>A023078</t>
  </si>
  <si>
    <t>FRESUBIN DRINK 2K * 200ML</t>
  </si>
  <si>
    <t>M192227</t>
  </si>
  <si>
    <t>FRESUBIN ENERGY HP * 1000ML</t>
  </si>
  <si>
    <t>M192213</t>
  </si>
  <si>
    <t>FUELLE ADULTO PARA MAQUINA ANESTESIA</t>
  </si>
  <si>
    <t>A250046</t>
  </si>
  <si>
    <t>FUNDA A MUSLO</t>
  </si>
  <si>
    <t>A280007</t>
  </si>
  <si>
    <t>FUNDA ESTERIL MICROSCOPIO QX 306075</t>
  </si>
  <si>
    <t>Q272887</t>
  </si>
  <si>
    <t>FUNDA ESTERIL PARA MICROSCOPIO</t>
  </si>
  <si>
    <t>Q272871</t>
  </si>
  <si>
    <t>Fundas de felpa M / L y Manguito Paquete N°3 ref: 1003.68C0</t>
  </si>
  <si>
    <t>A204547</t>
  </si>
  <si>
    <t>Fundas de felpa S y Manguito Paquete N°4 ref: 1003.68D0</t>
  </si>
  <si>
    <t>A204548</t>
  </si>
  <si>
    <t>GANCHOS CLIPS</t>
  </si>
  <si>
    <t>A031027</t>
  </si>
  <si>
    <t>GANCHOS COSEDORA</t>
  </si>
  <si>
    <t>A031028</t>
  </si>
  <si>
    <t>GANCHOS LEGAJADORES</t>
  </si>
  <si>
    <t>A031026</t>
  </si>
  <si>
    <t>GARRAFA PLASTICA</t>
  </si>
  <si>
    <t>A023190</t>
  </si>
  <si>
    <t>GASA ESTERIL 10*10 32 SOBRE*5</t>
  </si>
  <si>
    <t>A019981</t>
  </si>
  <si>
    <t>GASA ESTERIL CON RADIOPACO 10*10 32P SOBRE X10</t>
  </si>
  <si>
    <t>A019978</t>
  </si>
  <si>
    <t>GASA PRECORTADA 3X3X8 PAQX5</t>
  </si>
  <si>
    <t>A019979</t>
  </si>
  <si>
    <t>GASA RX 16 PLY 3*3 SOBRE * 5</t>
  </si>
  <si>
    <t>A019982</t>
  </si>
  <si>
    <t>GAVETERO ABIERTO AZUL</t>
  </si>
  <si>
    <t>A021063</t>
  </si>
  <si>
    <t>GAVETERO CERRADO NEGRO CAJAS GRISES</t>
  </si>
  <si>
    <t>A021021</t>
  </si>
  <si>
    <t>GEL CONDUCTOR ULTRASONIDO</t>
  </si>
  <si>
    <t>L012061</t>
  </si>
  <si>
    <t>GEL CONDUCTOR ULTRASONIDO *250 ML</t>
  </si>
  <si>
    <t>L012228</t>
  </si>
  <si>
    <t>GLUCERNA 1.0 LPC * 1500ML</t>
  </si>
  <si>
    <t>M192236</t>
  </si>
  <si>
    <t>GLUCERNA 1.5 * 1000ML</t>
  </si>
  <si>
    <t>M192198</t>
  </si>
  <si>
    <t>GORROS DESECHABLES</t>
  </si>
  <si>
    <t>L012137</t>
  </si>
  <si>
    <t>GUANTE DE CIRUGIA BIOGEL ECLIPSE</t>
  </si>
  <si>
    <t>L012206</t>
  </si>
  <si>
    <t>GUANTE DE CIRUGIA ESTERIL NO 7.5</t>
  </si>
  <si>
    <t>L012065</t>
  </si>
  <si>
    <t>GUANTE DE EXAMEN EN  VINILO</t>
  </si>
  <si>
    <t>L012167</t>
  </si>
  <si>
    <t>GUANTE INDUSTRIAL NEGRO C-35</t>
  </si>
  <si>
    <t>A023079</t>
  </si>
  <si>
    <t>GUANTE PARA EXAMEN TALLA L</t>
  </si>
  <si>
    <t>L012068</t>
  </si>
  <si>
    <t>GUANTE PARA EXAMEN TALLA M</t>
  </si>
  <si>
    <t>L012069</t>
  </si>
  <si>
    <t>GUANTE PARA EXAMEN TALLA S</t>
  </si>
  <si>
    <t>L012070</t>
  </si>
  <si>
    <t>GUARDIAN DE SEGURIDAD ECOLOGICO 2.9</t>
  </si>
  <si>
    <t>L012072</t>
  </si>
  <si>
    <t>GUIA INTUB ADULTO 14FR REF 85865</t>
  </si>
  <si>
    <t>Q283216</t>
  </si>
  <si>
    <t>GUIA INTUB NEONATAL 6FR REF 85863</t>
  </si>
  <si>
    <t>Q283278</t>
  </si>
  <si>
    <t>GUIA INTUB PEDIATRICA 10FR REF 85864</t>
  </si>
  <si>
    <t>Q283215</t>
  </si>
  <si>
    <t>HELONTIX  (HELIO 79% - OXIGENO 21%)</t>
  </si>
  <si>
    <t>M341011</t>
  </si>
  <si>
    <t>HELONTIX  60/40</t>
  </si>
  <si>
    <t>M341010</t>
  </si>
  <si>
    <t>HIPOCLORITO DE SODIO</t>
  </si>
  <si>
    <t>A023081</t>
  </si>
  <si>
    <t>HIV AG/AB CALIBRATOR</t>
  </si>
  <si>
    <t>M192183</t>
  </si>
  <si>
    <t>HOJA BISTURI No 11</t>
  </si>
  <si>
    <t>L012075</t>
  </si>
  <si>
    <t>Q280001</t>
  </si>
  <si>
    <t>HOJA RECIBO CAJA DEFINITIVO</t>
  </si>
  <si>
    <t>A041073</t>
  </si>
  <si>
    <t>HOJA RECIBO CAJA PROVISIONAL</t>
  </si>
  <si>
    <t>A041072</t>
  </si>
  <si>
    <t>HOJA SERVICIO DE ANESTESIA</t>
  </si>
  <si>
    <t>A041036</t>
  </si>
  <si>
    <t>HTLV I/II CALIBRATOR</t>
  </si>
  <si>
    <t>M192184</t>
  </si>
  <si>
    <t>HUMEDECEDOR 50GR</t>
  </si>
  <si>
    <t>A031284</t>
  </si>
  <si>
    <t>ID CARD DIACLON REVERSE GROUP FOR DONORS</t>
  </si>
  <si>
    <t>A131129</t>
  </si>
  <si>
    <t>ID CARD RH PHENOTYPING</t>
  </si>
  <si>
    <t>A131035</t>
  </si>
  <si>
    <t>ID DIACELL A1+B CAJA</t>
  </si>
  <si>
    <t>A130014</t>
  </si>
  <si>
    <t>ID DIACELL I+II+III</t>
  </si>
  <si>
    <t>A131014</t>
  </si>
  <si>
    <t>ID DIACELL POOL 1*10ML</t>
  </si>
  <si>
    <t>A131038</t>
  </si>
  <si>
    <t>ID DIACLON ABD CONFIRMATION FOR DONORS</t>
  </si>
  <si>
    <t>A131009</t>
  </si>
  <si>
    <t>ID DIACLON ABO/D + REV. GROUP</t>
  </si>
  <si>
    <t>A131036</t>
  </si>
  <si>
    <t>ID DIACLON ANTI A</t>
  </si>
  <si>
    <t>A131021</t>
  </si>
  <si>
    <t>ID DIACLON ANTI B</t>
  </si>
  <si>
    <t>A131022</t>
  </si>
  <si>
    <t>ID DIACLON ANTI D</t>
  </si>
  <si>
    <t>A131024</t>
  </si>
  <si>
    <t>ID DIACLON ANTI D x 10</t>
  </si>
  <si>
    <t>A131062</t>
  </si>
  <si>
    <t>ID DIACLON RH+CW+K</t>
  </si>
  <si>
    <t>A131128</t>
  </si>
  <si>
    <t>ID DILUENT 2</t>
  </si>
  <si>
    <t>A131017</t>
  </si>
  <si>
    <t>ID DILUENT 2 P/ IH - 500</t>
  </si>
  <si>
    <t>A131068</t>
  </si>
  <si>
    <t>ID LISS COOMBS</t>
  </si>
  <si>
    <t>A131016</t>
  </si>
  <si>
    <t>ID SUSPENSION TUBES PQ*1000</t>
  </si>
  <si>
    <t>A131020</t>
  </si>
  <si>
    <t>INDICADOR BIOLOGICO A VAP 1492V * 50</t>
  </si>
  <si>
    <t>Q272809</t>
  </si>
  <si>
    <t>INDICADOR BIOLOGICO1295 PEROXIDO DE HIDROGENO</t>
  </si>
  <si>
    <t>Q272891</t>
  </si>
  <si>
    <t>INDICADOR CLASE IV PEROXIDO VH2024</t>
  </si>
  <si>
    <t>Q252891</t>
  </si>
  <si>
    <t>INDICADOR DE LAVADO ULTRA(CDWA3)</t>
  </si>
  <si>
    <t>Q272868</t>
  </si>
  <si>
    <t>INFUSOR A PRESION * 1000</t>
  </si>
  <si>
    <t>Q252660</t>
  </si>
  <si>
    <t>INTEGRADOR A VAPOR REF 1243A COMPLY</t>
  </si>
  <si>
    <t>Q272885</t>
  </si>
  <si>
    <t>IOFOAM * 60CC</t>
  </si>
  <si>
    <t>M071696</t>
  </si>
  <si>
    <t>IOPAVISOL * 60CC</t>
  </si>
  <si>
    <t>M071697</t>
  </si>
  <si>
    <t>IPRATROPIO BROMURO (FCO DE 15ML A 20ML) SOLUCION INHALACION 0.025 %</t>
  </si>
  <si>
    <t>M271710</t>
  </si>
  <si>
    <t>IPRATROPIO BROMURO/FENOTEROL SOLUCION INHALACION 0.25+0.5 MG/ML/20 ML</t>
  </si>
  <si>
    <t>M271513</t>
  </si>
  <si>
    <t>ISOPOS PARA SUPERFICIES</t>
  </si>
  <si>
    <t>L012213</t>
  </si>
  <si>
    <t>JABON DM-500-H PLUS * GALON</t>
  </si>
  <si>
    <t>A021025</t>
  </si>
  <si>
    <t>JABON LAVAPLATOS * 1000GR</t>
  </si>
  <si>
    <t>A023149</t>
  </si>
  <si>
    <t>JERINGA 10 ML 3P C/A SISTEMA LUER LOCK</t>
  </si>
  <si>
    <t>L711489</t>
  </si>
  <si>
    <t>JERINGA 5 ML 3P C/A SISTEMA LUER LOCK</t>
  </si>
  <si>
    <t>L711493</t>
  </si>
  <si>
    <t>JERINGA DE ASEPTO PLASTICA</t>
  </si>
  <si>
    <t>Q711009</t>
  </si>
  <si>
    <t>JEVITY 2 FRASCO * 500ML</t>
  </si>
  <si>
    <t>M192160</t>
  </si>
  <si>
    <t>JUEGO DE CIERRES PARA CESTO WOLF REF 64076028</t>
  </si>
  <si>
    <t>A280327</t>
  </si>
  <si>
    <t>JUGOS TETRA PAK</t>
  </si>
  <si>
    <t>A020032</t>
  </si>
  <si>
    <t>JUNTA DE ACCIONAMIENTO</t>
  </si>
  <si>
    <t>A250153</t>
  </si>
  <si>
    <t>KETOVOLVE 4:1 LATA * 300GR</t>
  </si>
  <si>
    <t>M192200</t>
  </si>
  <si>
    <t>KIT CONTROL DE CALIDAD HEMOGLOBINA</t>
  </si>
  <si>
    <t>A131003</t>
  </si>
  <si>
    <t>KIT LAPAROSCOPIA AVANZADA</t>
  </si>
  <si>
    <t>Q283321</t>
  </si>
  <si>
    <t>KIT LAPAROSCOPIA BASICA</t>
  </si>
  <si>
    <t>Q283320</t>
  </si>
  <si>
    <t>KIT LAPAROSCOPIA GINECOLOGICA</t>
  </si>
  <si>
    <t>Q280035</t>
  </si>
  <si>
    <t>KIT LAPAROSCOPIA PEDIATRICO</t>
  </si>
  <si>
    <t>Q280007</t>
  </si>
  <si>
    <t>KIT MASCARA VENTILACION NO INVASIVA TOTALFACE TALLA S</t>
  </si>
  <si>
    <t>L263180</t>
  </si>
  <si>
    <t>KIT OXIDO NITRICO</t>
  </si>
  <si>
    <t>Q250016</t>
  </si>
  <si>
    <t>LANCETA ESTERIL</t>
  </si>
  <si>
    <t>A191045</t>
  </si>
  <si>
    <t>LAPIZ ELECTROBISTURI CONTROL MANO</t>
  </si>
  <si>
    <t>Q283136</t>
  </si>
  <si>
    <t>LAPIZ NEGRO NO. 2</t>
  </si>
  <si>
    <t>A031014</t>
  </si>
  <si>
    <t>LECHE S26 GOLD RFT FC*70ML</t>
  </si>
  <si>
    <t>D081036</t>
  </si>
  <si>
    <t>LEGAJADOR A - Z OFICIO</t>
  </si>
  <si>
    <t>A031037</t>
  </si>
  <si>
    <t>LIBRO DE ACTAS 200 FOLIOS</t>
  </si>
  <si>
    <t>A031119</t>
  </si>
  <si>
    <t>LIGADURA UMBILICAL VELASCO</t>
  </si>
  <si>
    <t>L012083</t>
  </si>
  <si>
    <t>LIGADURA VARICES ESOFAGICAS COOK KIT</t>
  </si>
  <si>
    <t>Q283025</t>
  </si>
  <si>
    <t>LINEA MUESTRA CO2 LUER MARCA DATEX-OHMEDA</t>
  </si>
  <si>
    <t>Q252740</t>
  </si>
  <si>
    <t>MALLA 3D BAJA DENSIDAD L DERECHA</t>
  </si>
  <si>
    <t>A060043</t>
  </si>
  <si>
    <t>MALLA HOJA PLANA 6X6 PULG</t>
  </si>
  <si>
    <t>A060061</t>
  </si>
  <si>
    <t>MALLA QUIRUGICA WINER BLUE 20X20</t>
  </si>
  <si>
    <t>L611784</t>
  </si>
  <si>
    <t>MALLA QUIRURGICA WINER BLUE 15 X 15</t>
  </si>
  <si>
    <t>L611702</t>
  </si>
  <si>
    <t>MALLA QUIRURGICA WINER BLUE 30 X 30 cm</t>
  </si>
  <si>
    <t>L611782</t>
  </si>
  <si>
    <t>MALLA QUIRURGICA WINER MAX 12CMx16cm BI-DIREC</t>
  </si>
  <si>
    <t>A280312</t>
  </si>
  <si>
    <t>MALLA SUAVE 6*6(15*15CM)</t>
  </si>
  <si>
    <t>A280142</t>
  </si>
  <si>
    <t>MANGA INSEMINAR TRANSPARENTE</t>
  </si>
  <si>
    <t>A019010</t>
  </si>
  <si>
    <t>Manguera NIBP para Monitor De Signos Vitales Cardiocap</t>
  </si>
  <si>
    <t>A250034</t>
  </si>
  <si>
    <t>MANILLA TIVECK AMARILLO NEON</t>
  </si>
  <si>
    <t>A031282</t>
  </si>
  <si>
    <t>MANILLA TIVECK MADRE/HIJO</t>
  </si>
  <si>
    <t>A031449</t>
  </si>
  <si>
    <t>MANILLA TYVECK AMARILLO</t>
  </si>
  <si>
    <t>A031437</t>
  </si>
  <si>
    <t>MANILLA TYVECK BLANCO</t>
  </si>
  <si>
    <t>A031439</t>
  </si>
  <si>
    <t>MANILLA TYVECK FUCSIA</t>
  </si>
  <si>
    <t>A031436</t>
  </si>
  <si>
    <t>MANTA BAJO CUERPO ADULTO 82248</t>
  </si>
  <si>
    <t>A280115</t>
  </si>
  <si>
    <t>MANTA CUERPO COMPLETO 82462</t>
  </si>
  <si>
    <t>A280000</t>
  </si>
  <si>
    <t>MANTA CUERPO COMPLETO PEDIATRICA 83244</t>
  </si>
  <si>
    <t>A280113</t>
  </si>
  <si>
    <t>MANTA UNDERBODY ADULTA  REF300</t>
  </si>
  <si>
    <t>A280107</t>
  </si>
  <si>
    <t>MANTA UNDERBODY PED REF 525</t>
  </si>
  <si>
    <t>A280239</t>
  </si>
  <si>
    <t>MARCADOR AZUL RECARGABLE BORRABLE</t>
  </si>
  <si>
    <t>A031289</t>
  </si>
  <si>
    <t>MARCADOR NEGRO RECARGABLE BORRABLE</t>
  </si>
  <si>
    <t>A031288</t>
  </si>
  <si>
    <t>MARCADOR ROJO RECARGABLE BORRABLE</t>
  </si>
  <si>
    <t>A031315</t>
  </si>
  <si>
    <t>MARCADOR SHARPIE</t>
  </si>
  <si>
    <t>A031064</t>
  </si>
  <si>
    <t>MARCADOR VERDE RECARGABLE BORRABLE</t>
  </si>
  <si>
    <t>A031306</t>
  </si>
  <si>
    <t>MASCARA DE ANESTESIA No. 0</t>
  </si>
  <si>
    <t>L268046</t>
  </si>
  <si>
    <t>MASCARA DE ANESTESIA NO. 1</t>
  </si>
  <si>
    <t>L263077</t>
  </si>
  <si>
    <t>MASCARA DE ANESTESIA NO. 2</t>
  </si>
  <si>
    <t>L263078</t>
  </si>
  <si>
    <t>MASCARA DE ANESTESIA NO. 3</t>
  </si>
  <si>
    <t>L263079</t>
  </si>
  <si>
    <t>MASCARA DE ANESTESIA No. 4</t>
  </si>
  <si>
    <t>Q283250</t>
  </si>
  <si>
    <t>MASCARA DE ANESTESIA No. 5</t>
  </si>
  <si>
    <t>Q283251</t>
  </si>
  <si>
    <t>MASCARA DE BRONCOSCOPIA # 3</t>
  </si>
  <si>
    <t>L268002</t>
  </si>
  <si>
    <t>MASCARA DE BRONCOSCOPIA #4</t>
  </si>
  <si>
    <t>L268004</t>
  </si>
  <si>
    <t>MASCARA LARINGEA # 1.5 REUSABLE</t>
  </si>
  <si>
    <t>L268010</t>
  </si>
  <si>
    <t>MASCARA LARINGEA #2 REUTILISABLE</t>
  </si>
  <si>
    <t>L268008</t>
  </si>
  <si>
    <t>MASCARA LARINGEA #2.5 REUSABLE</t>
  </si>
  <si>
    <t>L268043</t>
  </si>
  <si>
    <t>MASCARA LARINGEA #3 REUTILISABLE</t>
  </si>
  <si>
    <t>L268007</t>
  </si>
  <si>
    <t>MASCARA LARINGEA #4 REUTILIZABLE</t>
  </si>
  <si>
    <t>L268006</t>
  </si>
  <si>
    <t>MASCARA LARINGEA #5 REUTILISABLE</t>
  </si>
  <si>
    <t>L268009</t>
  </si>
  <si>
    <t>MASCARA VNI ADULTO L</t>
  </si>
  <si>
    <t>L263196</t>
  </si>
  <si>
    <t>MASCARA VNI ADULTO M</t>
  </si>
  <si>
    <t>L263195</t>
  </si>
  <si>
    <t>MASCARA VNI ADULTO S</t>
  </si>
  <si>
    <t>L263194</t>
  </si>
  <si>
    <t>MASCARA VNI PEDIA TALLA S TOTAL FACE</t>
  </si>
  <si>
    <t>L263190</t>
  </si>
  <si>
    <t>MASCARA VNI PEDIA XS TOTAL FACE</t>
  </si>
  <si>
    <t>L263189</t>
  </si>
  <si>
    <t>MASCARA VNI XXS PEDIA TOTAL FACE</t>
  </si>
  <si>
    <t>L263191</t>
  </si>
  <si>
    <t>MASCOTA EN FELPA DUPPY</t>
  </si>
  <si>
    <t>A301009</t>
  </si>
  <si>
    <t>MECHA GINECOLOGICA</t>
  </si>
  <si>
    <t>L012151</t>
  </si>
  <si>
    <t>MECHAS NASALES</t>
  </si>
  <si>
    <t>L012087</t>
  </si>
  <si>
    <t>MEDIAS ENTIEMBOLICAS TED STKG NYL T/L INTL</t>
  </si>
  <si>
    <t>A280131</t>
  </si>
  <si>
    <t>Memoria SRAM para Monitor De Signos Vitales Cardiocap</t>
  </si>
  <si>
    <t>A250022</t>
  </si>
  <si>
    <t>METROS</t>
  </si>
  <si>
    <t>A031142</t>
  </si>
  <si>
    <t>MICROPORE 1 PIEL</t>
  </si>
  <si>
    <t>L012095</t>
  </si>
  <si>
    <t>MICROPORE 1/2 PIEL</t>
  </si>
  <si>
    <t>L012097</t>
  </si>
  <si>
    <t>MICROPORE 2 PIEL</t>
  </si>
  <si>
    <t>L012099</t>
  </si>
  <si>
    <t>MICROTUBOS 1.5 ML PQ*60</t>
  </si>
  <si>
    <t>A191018</t>
  </si>
  <si>
    <t>N/A</t>
  </si>
  <si>
    <t>NAN 1</t>
  </si>
  <si>
    <t>D081011</t>
  </si>
  <si>
    <t>NEPRO BP LATA * 237ML</t>
  </si>
  <si>
    <t>M192217</t>
  </si>
  <si>
    <t>NIPLE CON TUERCA</t>
  </si>
  <si>
    <t>A091011</t>
  </si>
  <si>
    <t>NITROFURAZONA POTE X 500</t>
  </si>
  <si>
    <t>L012101</t>
  </si>
  <si>
    <t>NOXAP 200 PPM</t>
  </si>
  <si>
    <t>M341012</t>
  </si>
  <si>
    <t>NUT PARENTERAL NUTRIFLEX * 1250 OMEGA ESPECIAL</t>
  </si>
  <si>
    <t>M191605</t>
  </si>
  <si>
    <t>NUT PARENTERAL NUTRIFLEX * 1875 OMEGA ESPECIAL</t>
  </si>
  <si>
    <t>M191606</t>
  </si>
  <si>
    <t xml:space="preserve">NUTREN SENIOR BOTELLA X 200 ML UNIDADES </t>
  </si>
  <si>
    <t>M192226</t>
  </si>
  <si>
    <t>NUTRICION PARENTERAL NUMETA G13% E</t>
  </si>
  <si>
    <t>M192253</t>
  </si>
  <si>
    <t>NUTRICION PARENTERAL OLIMEL N9 E*1500ML</t>
  </si>
  <si>
    <t>M192252</t>
  </si>
  <si>
    <t>NUTRICION PARENTERAL OLIMEL N9 E*2000ML</t>
  </si>
  <si>
    <t>M192251</t>
  </si>
  <si>
    <t>NUTRICION PARENTERAL PERIOMEL N4 E*1500ML</t>
  </si>
  <si>
    <t>M192254</t>
  </si>
  <si>
    <t>NUTRIFLEX * 1250ML LIPID PERI</t>
  </si>
  <si>
    <t>M191603</t>
  </si>
  <si>
    <t>OLIVA ALPHA 8-69-43100</t>
  </si>
  <si>
    <t>A280229</t>
  </si>
  <si>
    <t>OSMOLITE PLUS LPC</t>
  </si>
  <si>
    <t>M192153</t>
  </si>
  <si>
    <t>OXIMETAZOLINA CLORHIDRATO (EQ. A 0.5MG/ML) SOLUCION NASAL  0.05 %/15 ML</t>
  </si>
  <si>
    <t>M181969</t>
  </si>
  <si>
    <t>OXIMETAZOLINA CLORHIDRATO SOLUCION NASAL  0.025 %/15 ML</t>
  </si>
  <si>
    <t>M181971</t>
  </si>
  <si>
    <t>PAPEL CREPADO PARA ESTERILIZAR 120*120</t>
  </si>
  <si>
    <t>Q272852</t>
  </si>
  <si>
    <t>PAPEL DIGITURNO DT 3000</t>
  </si>
  <si>
    <t>A031083</t>
  </si>
  <si>
    <t>PAPEL HIGIENICO DOBLE HOJA 500MTS</t>
  </si>
  <si>
    <t>A020075</t>
  </si>
  <si>
    <t>PAPEL IMPRESORA ESTERIS X 3 UND</t>
  </si>
  <si>
    <t>A032002</t>
  </si>
  <si>
    <t>PAPEL IMPRESORA TERMICO 80*60MM</t>
  </si>
  <si>
    <t>A031301</t>
  </si>
  <si>
    <t>PAPEL MONITOR FETAL 152X90X150</t>
  </si>
  <si>
    <t>A313676</t>
  </si>
  <si>
    <t>PAPEL TAMAÑO CARTA 75 GR</t>
  </si>
  <si>
    <t>A031015</t>
  </si>
  <si>
    <t>PAPEL TYVEK 25*100</t>
  </si>
  <si>
    <t>Q252881</t>
  </si>
  <si>
    <t>PAPEL TYVEK 50 * 100</t>
  </si>
  <si>
    <t>Q252885</t>
  </si>
  <si>
    <t>PAPEL TYVEK 7.5*100</t>
  </si>
  <si>
    <t>Q252880</t>
  </si>
  <si>
    <t>PAQUETE CATETER</t>
  </si>
  <si>
    <t>A010908</t>
  </si>
  <si>
    <t>PAQUETE DE ANESTESIA</t>
  </si>
  <si>
    <t>A012195</t>
  </si>
  <si>
    <t>PAQUETE GALLETAS</t>
  </si>
  <si>
    <t>A020056</t>
  </si>
  <si>
    <t>PAQUETE NEONATAL NEO UCI</t>
  </si>
  <si>
    <t>A010904</t>
  </si>
  <si>
    <t>PAQUETE QUIRURGICO BASICO</t>
  </si>
  <si>
    <t>L012143</t>
  </si>
  <si>
    <t>PAQUETE QUIRURGICOS PARTOS</t>
  </si>
  <si>
    <t>A012194</t>
  </si>
  <si>
    <t>PAQUETE SABANA DESECHABLE ESTERIL</t>
  </si>
  <si>
    <t>A012196</t>
  </si>
  <si>
    <t>PASTA CATALOGO DE 1.5</t>
  </si>
  <si>
    <t>A031087</t>
  </si>
  <si>
    <t>PASTILLERO GIRATORIO</t>
  </si>
  <si>
    <t>A020082</t>
  </si>
  <si>
    <t>Pata catalogo 2 pulgadas-AZ</t>
  </si>
  <si>
    <t>A031012</t>
  </si>
  <si>
    <t>PEDAL PARA PAPELERA 20Lt</t>
  </si>
  <si>
    <t>A020025</t>
  </si>
  <si>
    <t>PEDIASURE CLINICAL BOTELLA * 220ML</t>
  </si>
  <si>
    <t>M192219</t>
  </si>
  <si>
    <t>PEDIASURE CLINICAL LPC * 500ML</t>
  </si>
  <si>
    <t>M192220</t>
  </si>
  <si>
    <t>PEGASTIC 20 GRS</t>
  </si>
  <si>
    <t>A031048</t>
  </si>
  <si>
    <t>Pera Con Valvula Para Infusor</t>
  </si>
  <si>
    <t>PERA CON VALVULA PARA TENSIOMETRO</t>
  </si>
  <si>
    <t>PERFORADORA</t>
  </si>
  <si>
    <t>A031030</t>
  </si>
  <si>
    <t>PEROXIDO DE HIDROGENO AL 59%  CARTUCHO * 15 CICLOS</t>
  </si>
  <si>
    <t>Q272889</t>
  </si>
  <si>
    <t>PIEZA DE MANO BLUE</t>
  </si>
  <si>
    <t>A061075</t>
  </si>
  <si>
    <t>PIEZA DE MANO HP054 GRIS</t>
  </si>
  <si>
    <t>A062100</t>
  </si>
  <si>
    <t>PILAS 9V</t>
  </si>
  <si>
    <t>A029694</t>
  </si>
  <si>
    <t>PILAS AA</t>
  </si>
  <si>
    <t>A029692</t>
  </si>
  <si>
    <t>PILAS AAA</t>
  </si>
  <si>
    <t>A029693</t>
  </si>
  <si>
    <t>PILAS C</t>
  </si>
  <si>
    <t>A029695</t>
  </si>
  <si>
    <t>PIN KIRSCHNER 0.8MMX200MM REF K0820</t>
  </si>
  <si>
    <t>A315704</t>
  </si>
  <si>
    <t>PIN KIRSCHNER 1.0MM*230MM K1023</t>
  </si>
  <si>
    <t>A313736</t>
  </si>
  <si>
    <t>PIN KIRSCHNER 1.5MM*230MM K1523</t>
  </si>
  <si>
    <t>A313708</t>
  </si>
  <si>
    <t>PIN KIRSCHNER 1.8MMX230MM REF K1823</t>
  </si>
  <si>
    <t>A315706</t>
  </si>
  <si>
    <t>PIN KIRSCHNER 12MM*230MM K1223</t>
  </si>
  <si>
    <t>A313737</t>
  </si>
  <si>
    <t>PIN STEINMAN KIRSH 1.8 MM X 230 MM</t>
  </si>
  <si>
    <t>A315730</t>
  </si>
  <si>
    <t>PIN STEINMANN 2.0 X 230MM S2023</t>
  </si>
  <si>
    <t>A313102</t>
  </si>
  <si>
    <t>PINZA  GRASPER  DE  5MM X  35MM</t>
  </si>
  <si>
    <t>Q283101</t>
  </si>
  <si>
    <t>PINZA GRASPER DE 5 MM X 45 MM</t>
  </si>
  <si>
    <t>Q283124</t>
  </si>
  <si>
    <t>PINZA LIGASURE 5MM NUEVA GENERACION LF1837</t>
  </si>
  <si>
    <t>Q252850</t>
  </si>
  <si>
    <t>PINZA LIGASURE IMPACT LF4418</t>
  </si>
  <si>
    <t>A091166</t>
  </si>
  <si>
    <t>PINZA MERYLAND 5mm 176645</t>
  </si>
  <si>
    <t>A283242</t>
  </si>
  <si>
    <t>PLACA ELECTROB NEONATAL REF E7512</t>
  </si>
  <si>
    <t>Q252677</t>
  </si>
  <si>
    <t>PLACA ELECTROB PEDIATRICA REF E7510-25</t>
  </si>
  <si>
    <t>Q252676</t>
  </si>
  <si>
    <t>PLACA ELECTROBISTURY SIN CABLE</t>
  </si>
  <si>
    <t>Q252768</t>
  </si>
  <si>
    <t>PLANILLERO ACRILICO</t>
  </si>
  <si>
    <t>A031077</t>
  </si>
  <si>
    <t>PLEGABLE BANCO DE SANGRE</t>
  </si>
  <si>
    <t>A041038</t>
  </si>
  <si>
    <t>POCILLO PARA CAFE DOBLE PARED CON TAPA</t>
  </si>
  <si>
    <t>A020038</t>
  </si>
  <si>
    <t>POLAINA DESECHABLE ANTIDESLIZANTE</t>
  </si>
  <si>
    <t>L012008</t>
  </si>
  <si>
    <t>PPD TUBERCULINA MAMMALIAN 2ml*20 DOSIS</t>
  </si>
  <si>
    <t>M082000</t>
  </si>
  <si>
    <t>PRE NAN LIQUIDA FRASCO</t>
  </si>
  <si>
    <t>M192164</t>
  </si>
  <si>
    <t>PRECINTO TIPO UZY</t>
  </si>
  <si>
    <t>A030061</t>
  </si>
  <si>
    <t>PROSURE BOTELLA X220 ML</t>
  </si>
  <si>
    <t>M192258</t>
  </si>
  <si>
    <t>PROWHEY PLUS SOBRE * 30GR</t>
  </si>
  <si>
    <t>M192223</t>
  </si>
  <si>
    <t>PUNTA PARA PIPETA ID TIPS</t>
  </si>
  <si>
    <t>A190011</t>
  </si>
  <si>
    <t>QUINEUTRIM * 3750 CC DETERGENTE</t>
  </si>
  <si>
    <t>L012212</t>
  </si>
  <si>
    <t>QUIRUCIDAL  SOLUCION * 120  SPRAY</t>
  </si>
  <si>
    <t>L012197</t>
  </si>
  <si>
    <t>QUIRUGER PLUS *3750 CC</t>
  </si>
  <si>
    <t>L012211</t>
  </si>
  <si>
    <t>REGLA</t>
  </si>
  <si>
    <t>A031035</t>
  </si>
  <si>
    <t>REMOVEDOR</t>
  </si>
  <si>
    <t>A201304</t>
  </si>
  <si>
    <t>RESALTADOR</t>
  </si>
  <si>
    <t>A031019</t>
  </si>
  <si>
    <t>RESERVORIO 100ML PT.P3-1005</t>
  </si>
  <si>
    <t>A283001</t>
  </si>
  <si>
    <t>RESUCITADOR DESECHABLE ADULTO</t>
  </si>
  <si>
    <t>L263176</t>
  </si>
  <si>
    <t>RESUCITADOR DESECHABLE NEONATAL</t>
  </si>
  <si>
    <t>L263174</t>
  </si>
  <si>
    <t>RESUCITADOR DESECHABLE PEDIATRICO</t>
  </si>
  <si>
    <t>L263175</t>
  </si>
  <si>
    <t>RETRACTOR ALEXIS DE 2-4 CM</t>
  </si>
  <si>
    <t>A092166</t>
  </si>
  <si>
    <t>RETRACTOR ELEVADOR VAGINAL ESTANDAR  CERVICAL  V-CARE 60-6085-200</t>
  </si>
  <si>
    <t>A091765</t>
  </si>
  <si>
    <t>RETRACTOR-ELEVADOR VAGINAL-CERVICAL V-CARE 60-6085-100</t>
  </si>
  <si>
    <t>A091761</t>
  </si>
  <si>
    <t>ROLLO ABDOMINAL</t>
  </si>
  <si>
    <t>A019980</t>
  </si>
  <si>
    <t>ROLLO SABANA DESECHABLE 30grsX72cmsX100mts</t>
  </si>
  <si>
    <t>A301104</t>
  </si>
  <si>
    <t>ROTULO LASER CARPETA REF: 3058</t>
  </si>
  <si>
    <t>A031146</t>
  </si>
  <si>
    <t>ROTULO MEDICAMENTO AZUL CLARO 2.2X6.5cm</t>
  </si>
  <si>
    <t>A031467</t>
  </si>
  <si>
    <t>ROTULO MULTIUSO</t>
  </si>
  <si>
    <t>A031117</t>
  </si>
  <si>
    <t>ROXICAINA ATOMIZADOR X 10%/ 80 G FC</t>
  </si>
  <si>
    <t>M031772</t>
  </si>
  <si>
    <t xml:space="preserve">S-26 GOLD PREMATUROS X 70 ML (SANULAC S.A.S) </t>
  </si>
  <si>
    <t>D081039</t>
  </si>
  <si>
    <t>SABANA DE AMORTAJAR DESECHABLE</t>
  </si>
  <si>
    <t>L263137</t>
  </si>
  <si>
    <t>SACAGANCHOS</t>
  </si>
  <si>
    <t>A031025</t>
  </si>
  <si>
    <t>Q252772</t>
  </si>
  <si>
    <t>Sensor De Saturación General Electric Procare 300 Adulto</t>
  </si>
  <si>
    <t>Q252822</t>
  </si>
  <si>
    <t>Sensor De Temperatura Transesofágico Monitor De Signos G.E</t>
  </si>
  <si>
    <t>Q252758</t>
  </si>
  <si>
    <t>SENSOR SpO2 ADULTO MS13235</t>
  </si>
  <si>
    <t>A250070</t>
  </si>
  <si>
    <t>SENSOR SPO2 PINZA ADULTO COMPATIBLE CON DRAGER VISTA 120</t>
  </si>
  <si>
    <t>SEPARADOR PARA FOLDER 105</t>
  </si>
  <si>
    <t>A031089</t>
  </si>
  <si>
    <t>SERACLONE ANTI A1 LECTIN</t>
  </si>
  <si>
    <t>A131127</t>
  </si>
  <si>
    <t>SET 3 TIJERAS ACERO</t>
  </si>
  <si>
    <t>A211108</t>
  </si>
  <si>
    <t>SET BOMBA AMIKA CON BOLSA * 1500ML</t>
  </si>
  <si>
    <t>L531366</t>
  </si>
  <si>
    <t>SET BOMBA AMIKA CON TAPA Y PUNZON</t>
  </si>
  <si>
    <t>L531367</t>
  </si>
  <si>
    <t>SET BOMBA AMIKA PUNZON</t>
  </si>
  <si>
    <t>L531368</t>
  </si>
  <si>
    <t>SET DE CRAWFORT</t>
  </si>
  <si>
    <t>L721605</t>
  </si>
  <si>
    <t>SET ESTANDAR CALENTAMIENTO DE FLUIDOS</t>
  </si>
  <si>
    <t>A280038</t>
  </si>
  <si>
    <t>SIERRA DE GIGLY 50CMS</t>
  </si>
  <si>
    <t>Q283153</t>
  </si>
  <si>
    <t>SIFILIS CALIBRADOR</t>
  </si>
  <si>
    <t>M192191</t>
  </si>
  <si>
    <t>SILLA PLASTICA</t>
  </si>
  <si>
    <t>A023155</t>
  </si>
  <si>
    <t>SIMILAC 1 IQ PLUS * 59ML</t>
  </si>
  <si>
    <t>M192131</t>
  </si>
  <si>
    <t>SIMILAC NEOSURE HMO 20Z</t>
  </si>
  <si>
    <t>M191017</t>
  </si>
  <si>
    <t>SIMILAC SPECIAL CARE IQ * 24 KAL * 2 ONZ (59ML)</t>
  </si>
  <si>
    <t>M192162</t>
  </si>
  <si>
    <t>SOBRE MANILA CARTA</t>
  </si>
  <si>
    <t>A031080</t>
  </si>
  <si>
    <t>SOBRE MANILA OFICIO</t>
  </si>
  <si>
    <t>A031020</t>
  </si>
  <si>
    <t>A250111</t>
  </si>
  <si>
    <t>SPIRETTES CON EMPAQUE</t>
  </si>
  <si>
    <t>L263172</t>
  </si>
  <si>
    <t>STENT BILIAR PLASTICO 10 FR  X  7CM</t>
  </si>
  <si>
    <t>L611674</t>
  </si>
  <si>
    <t>STENT BILIAR PLASTICO 7FR X 10CM 3363-1</t>
  </si>
  <si>
    <t>L611675</t>
  </si>
  <si>
    <t>STERANIOS 2% ESTERILIZANTE EN FRIO</t>
  </si>
  <si>
    <t>L012046</t>
  </si>
  <si>
    <t>STOP DISK</t>
  </si>
  <si>
    <t>A250450</t>
  </si>
  <si>
    <t>SURFANIOS CITRON</t>
  </si>
  <si>
    <t>L012154</t>
  </si>
  <si>
    <t>TAJALAPIZ</t>
  </si>
  <si>
    <t>A031034</t>
  </si>
  <si>
    <t>TAPA OIDOS DESECHABLE</t>
  </si>
  <si>
    <t>A202226</t>
  </si>
  <si>
    <t>TAPABOCA PEDIATRICO DESECHABLE</t>
  </si>
  <si>
    <t>L012183</t>
  </si>
  <si>
    <t>TAPABOCAS DESECHABLE CONVENCIONAL</t>
  </si>
  <si>
    <t>L012215</t>
  </si>
  <si>
    <t>TAPABOCAS N95</t>
  </si>
  <si>
    <t>L012149</t>
  </si>
  <si>
    <t>TAPETE ATRAPAMUGRE  1.48 * 1.00</t>
  </si>
  <si>
    <t>A101171</t>
  </si>
  <si>
    <t>TAPON NASAL MEROCEL DE 8CM</t>
  </si>
  <si>
    <t>L751713</t>
  </si>
  <si>
    <t>TERMOHIGROMETRO DIGITAL</t>
  </si>
  <si>
    <t>A211058</t>
  </si>
  <si>
    <t>TERMOMETRO DIGITAL MAX/MIN NEVERA CERTFICADO</t>
  </si>
  <si>
    <t>A019990</t>
  </si>
  <si>
    <t>TERMOMETRO INFRAROJO -32°A 380°C CON CERTIFICADO DE CALIBRACION</t>
  </si>
  <si>
    <t>A060001</t>
  </si>
  <si>
    <t>TIJERA ARMONICO 36MM (ACE36E)</t>
  </si>
  <si>
    <t>A091225</t>
  </si>
  <si>
    <t>TIJERA DE 5MM 5DCS SCISSORS</t>
  </si>
  <si>
    <t>Q283021</t>
  </si>
  <si>
    <t>TIJERA MAPED</t>
  </si>
  <si>
    <t>A031076</t>
  </si>
  <si>
    <t>TINTA HUELLERO</t>
  </si>
  <si>
    <t>A031079</t>
  </si>
  <si>
    <t>TINTA MARCADOR RECARGABLE AZUL</t>
  </si>
  <si>
    <t>A031317</t>
  </si>
  <si>
    <t>TINTA NEGRA MARCADOR BORRABLE</t>
  </si>
  <si>
    <t>A031316</t>
  </si>
  <si>
    <t>TINTA PARA SELLOS</t>
  </si>
  <si>
    <t>A031045</t>
  </si>
  <si>
    <t>TINTA VERDE MARCADOR RECARGABLE</t>
  </si>
  <si>
    <t>A031319</t>
  </si>
  <si>
    <t>TINTURA BENJUI X 500 ML</t>
  </si>
  <si>
    <t>L012120</t>
  </si>
  <si>
    <t>TIRA TEST X60 CIDEX OPA</t>
  </si>
  <si>
    <t>A191030</t>
  </si>
  <si>
    <t>TIRAS INDICADOR QUIMICO VAPOR CORTAS REF:801010</t>
  </si>
  <si>
    <t>Q272881</t>
  </si>
  <si>
    <t>TIRAS STATSTRIP UNIDAD</t>
  </si>
  <si>
    <t>A191044</t>
  </si>
  <si>
    <t>TOALLA DE MANOS EN Z PAQUETE</t>
  </si>
  <si>
    <t>L012107</t>
  </si>
  <si>
    <t>TOALLA MANOS SCOTT ESSENTIAL X 177MTS</t>
  </si>
  <si>
    <t>L012214</t>
  </si>
  <si>
    <t>TOALLITA ANTISEPTICA CON CLORHEXIDINA 2%</t>
  </si>
  <si>
    <t>L010004</t>
  </si>
  <si>
    <t>L619246</t>
  </si>
  <si>
    <t>TONER  REMANUFACTURADO  CE 255A</t>
  </si>
  <si>
    <t>A319296</t>
  </si>
  <si>
    <t>TORUNDAS GASA ESTERIL</t>
  </si>
  <si>
    <t>A019984</t>
  </si>
  <si>
    <t>TRAMP H20 D FEN HEMBRA NEGRA ANESTESIA CO2</t>
  </si>
  <si>
    <t>Q252762</t>
  </si>
  <si>
    <t>TRAMPA AGUA PRIMUS</t>
  </si>
  <si>
    <t>Q250017</t>
  </si>
  <si>
    <t>TROCAR CAMISA/PUNZON 12 MN X 100 MM</t>
  </si>
  <si>
    <t>Q250059</t>
  </si>
  <si>
    <t>TROCAR CAMISA/PUNZON 5 MM X 100 MM</t>
  </si>
  <si>
    <t>Q250057</t>
  </si>
  <si>
    <t>TROCAR QUIRURGICO SIN CUCHILLA 12 MM</t>
  </si>
  <si>
    <t>Q250055</t>
  </si>
  <si>
    <t>TROKAR DE 5MM*100MM  CTB03</t>
  </si>
  <si>
    <t>A285302</t>
  </si>
  <si>
    <t>TUBO DE VENTILACION TEFLON OIDO</t>
  </si>
  <si>
    <t>L751714</t>
  </si>
  <si>
    <t>TUBO TAPA AMARILLA X 100 U</t>
  </si>
  <si>
    <t>A190001</t>
  </si>
  <si>
    <t>TUBO TAPA LILA X 100 UND</t>
  </si>
  <si>
    <t>A191020</t>
  </si>
  <si>
    <t>VALVULA PISTOLA SPRAY</t>
  </si>
  <si>
    <t>A023214</t>
  </si>
  <si>
    <t>VASELINA</t>
  </si>
  <si>
    <t>L012133</t>
  </si>
  <si>
    <t>VASO 4onz BIODEGRADABLE BLANCO</t>
  </si>
  <si>
    <t>A020067</t>
  </si>
  <si>
    <t>VENTSTAR CALEFACTO (N) MP00308</t>
  </si>
  <si>
    <t>Q252884</t>
  </si>
  <si>
    <t>VENTSTAR OXYLOG 3000F 2000</t>
  </si>
  <si>
    <t>Q250000</t>
  </si>
  <si>
    <t>VINIPEL EN ROLLO</t>
  </si>
  <si>
    <t>A023211</t>
  </si>
  <si>
    <t>VIOLETA GENCIANA</t>
  </si>
  <si>
    <t>L012135</t>
  </si>
  <si>
    <t>VITAL 1.5 BOTELLA * 220ML</t>
  </si>
  <si>
    <t>M192239</t>
  </si>
  <si>
    <t>VITAL 1.5 LPC * 1000ML</t>
  </si>
  <si>
    <t>M192238</t>
  </si>
  <si>
    <t>VOL FEED NURSER 60 ML</t>
  </si>
  <si>
    <t>M192230</t>
  </si>
  <si>
    <t>WASH SOLUTION A</t>
  </si>
  <si>
    <t>A190009</t>
  </si>
  <si>
    <t>WHEEL 150*40*15 4 kN</t>
  </si>
  <si>
    <t>A250449</t>
  </si>
  <si>
    <t>WYPALL X-60 JUMBO ROLL</t>
  </si>
  <si>
    <t>L012126</t>
  </si>
  <si>
    <t>YODOPOVIDONA 2.5MG/ML SOLUCION OFTALMICA GOTAS FRASCO X 5 ML</t>
  </si>
  <si>
    <t>M201954</t>
  </si>
  <si>
    <t>SENSOR DE SPO2  INFINITY DRAGER ADULTO</t>
  </si>
  <si>
    <t>SENSOR DE TEMPERATURA DRAGER INFINITY</t>
  </si>
  <si>
    <t xml:space="preserve">CABLE ECG ECOGRAFO GINECO </t>
  </si>
  <si>
    <t xml:space="preserve">Manguera NIBP para Monitor De Signos Vitales UMEC E IMEC </t>
  </si>
  <si>
    <t>Trampa de agua GE</t>
  </si>
  <si>
    <t>876446-HEL</t>
  </si>
  <si>
    <t xml:space="preserve">CODIGO COMPRAS </t>
  </si>
  <si>
    <t>Hoja de videolaringoscopio # 3</t>
  </si>
  <si>
    <t>Sensor De Flujo Drager</t>
  </si>
  <si>
    <t>CORREO</t>
  </si>
  <si>
    <t xml:space="preserve">Sensor SPO2 Infinity </t>
  </si>
  <si>
    <t>(5) Salas de cirugía EXTRAS</t>
  </si>
  <si>
    <t xml:space="preserve"> Q252863</t>
  </si>
  <si>
    <t>(1) Hospitalizacipon (1) Urgencias</t>
  </si>
  <si>
    <t>(3) Urgencias (2) Hospitalización</t>
  </si>
  <si>
    <t>(3) Hospitalización (2) Salas cx</t>
  </si>
  <si>
    <t>Filtro de salida de gases para maquinas de anestesia Drager</t>
  </si>
  <si>
    <t>(7) Salas de Cx</t>
  </si>
  <si>
    <t>Bombillo fuente de luz Smith&amp;Nephew</t>
  </si>
  <si>
    <t>(2) Urgencias (1) Hospitalización</t>
  </si>
  <si>
    <t>Bateria Desfibrilador Ninhon Kodhen TEC-5631</t>
  </si>
  <si>
    <t xml:space="preserve">(1) Salas de Cx (1) Hospitalización </t>
  </si>
  <si>
    <t>(1) Salas de Cx</t>
  </si>
  <si>
    <t>(3) Salas de Cx</t>
  </si>
  <si>
    <t>(3) Salas de Cx (2) Urgencias</t>
  </si>
  <si>
    <t>Conector NIBP metalico macho-hembra</t>
  </si>
  <si>
    <t>(3) Salas Cx (3) Urgencias (1) Hospitalización</t>
  </si>
  <si>
    <t>(4) Salas Cx</t>
  </si>
  <si>
    <t>Bateria Monitor Signis Vitales Infinity Draguer</t>
  </si>
  <si>
    <t>Bateria Maquina de Anestesia AESPIRE 7100</t>
  </si>
  <si>
    <t>(1) Imágenes Diagnosticas (1) Salas Cx</t>
  </si>
  <si>
    <t>EXTRA</t>
  </si>
  <si>
    <t>NOS LLEGARON SIN PEDIR</t>
  </si>
  <si>
    <t>RESOLICITADO</t>
  </si>
  <si>
    <t>(2) Ginecología</t>
  </si>
  <si>
    <t>(4) Ginecología (4) Hospitalización (2) Salas Cx</t>
  </si>
  <si>
    <t>Bombillo Laringoscopío Ref: 6000 welch allyn</t>
  </si>
  <si>
    <t>Manguera dos vias NIBP  para Monitor De Signos Vitales Cardiocap</t>
  </si>
  <si>
    <t>Brazalete Adulto 1 Via lavable reutilizable</t>
  </si>
  <si>
    <t xml:space="preserve">Conector Para Brazalete plastico </t>
  </si>
  <si>
    <t>Transductor ultrasonido de Fetocardia monitor fetal Corometrics 170</t>
  </si>
  <si>
    <t>Brazalete Adulto 2 Vias lavable reutilizable</t>
  </si>
  <si>
    <t>Toco de actividad Uterina monitor fetal general Corometrics 170</t>
  </si>
  <si>
    <t>Transductor de ultrasonido fetocardia F3 EDAN</t>
  </si>
  <si>
    <t>Socket Laringoscopio Ref: 60813 welch allyn</t>
  </si>
  <si>
    <t>Bombillo Equipo de organos Ref: 3100u welch allyn</t>
  </si>
  <si>
    <t>Bombillo laringoscopio ref mago 60813 (LED) welc allyn</t>
  </si>
  <si>
    <t>Bombillo Laringoscopío Ref: 2800 welc allyn</t>
  </si>
  <si>
    <t>Bombillo Laringoscopío Ref: 3400u welc allyn</t>
  </si>
  <si>
    <t>Bateria para maquina de antessia Datex Ohmeda AESPIRE 7100</t>
  </si>
  <si>
    <t>Bateria para maquina de antessia Datex Ohmeda AVANCE S/5</t>
  </si>
  <si>
    <t>Bateria para maquina de antessia Datex Ohmeda AESTIVA/5</t>
  </si>
  <si>
    <t>Bateria para monitor de signos de antessia G.E. B650</t>
  </si>
  <si>
    <t>Filtros de calentador de mantas BAIR HUGGER 3M</t>
  </si>
  <si>
    <t>Interruptores de encendido de succionadores de NEW ASKIR 30 4 pines</t>
  </si>
  <si>
    <t>HOJA N# 3 DE VIDEOLARINGOSCOPIO HUGEMED VL3R</t>
  </si>
  <si>
    <t>Transductor de ultrasonido fetocardia F3 EDAN (6 PINES)</t>
  </si>
  <si>
    <t>Toco de actividad Uterina monitor fetal Edan F3 (6 PINES)</t>
  </si>
  <si>
    <t>ACOPLE RAPIDO MEDIOGIRO PLASTICO NIBP (MACHO Y HEMBRA) PARA BRAZALETE 1 VIA ADULTO</t>
  </si>
  <si>
    <t>Bombillo Equipo de organo welch allyn Ref: 4900 WELCH ALLYN</t>
  </si>
  <si>
    <t>Sensor De Flujo MAQUINA DE ANESTESIA G.E. Aestiva/5</t>
  </si>
  <si>
    <t>Acople PLASTICO NIBP MANGUERA-MONITOR TESLA M3 RESONADOR</t>
  </si>
  <si>
    <t>Bombillo Halogeno 24 v 150W Generico</t>
  </si>
  <si>
    <t xml:space="preserve">Adaptador 6V-0.8A de pin redondo pesa bebe </t>
  </si>
  <si>
    <t>Manguera oxigeno de 1.5m con conecto diss a diss</t>
  </si>
  <si>
    <t>Plancha calefactora sistema de alto flujo RESPICARE</t>
  </si>
  <si>
    <t>Sensor De Saturación Mindray UMEC10 Neonatal Original Monitor de signos vitales</t>
  </si>
  <si>
    <t>Sensor De Saturación Mindray IMEC10 Adultos Monitor de signos vitales</t>
  </si>
  <si>
    <t>Sensor De Saturación Mindray MEC1200 Adulto Monitor de signos vitales</t>
  </si>
  <si>
    <t>Cable ECG 3 Derivadas Mindray Mec1200 Monitor de signos vitales</t>
  </si>
  <si>
    <t>Cable ECG 3 Derivadas Mindray Umec - Imec Monitor de signos vitales</t>
  </si>
  <si>
    <t>Sensor De Saturación Mindray MEC1200 Neonatal Monitor de signos vitales</t>
  </si>
  <si>
    <t>Sensor De Saturación Mindray IMEC10 Neonatal Monitor de signos vitales</t>
  </si>
  <si>
    <t>Manguera para conexión NIBP una via mindray umec Monitor de signos vitales</t>
  </si>
  <si>
    <t>Sensor De Saturación Mindray UMEC10 Neonatal  Monitor de signos vitales</t>
  </si>
  <si>
    <t>Bateria Monitor Signos Vitales Mindray IMEC10 Monitor de signos vitales</t>
  </si>
  <si>
    <t>Bloques de bomba de  6v mindray imec Monitor de signos vitales</t>
  </si>
  <si>
    <t>Bloques de bomba de 12 v mindray Umec Monitor de signos vitales</t>
  </si>
  <si>
    <t>Sensor De Saturación Mindray UMEC10 Adulto Monitor de signos vitales</t>
  </si>
  <si>
    <t>Juego de Electrovalvulas Mindray UMEC 10 Monitor de signos vitales</t>
  </si>
  <si>
    <t>CABLE ECG 3 DERIVADAS MINDRAY PM8000 y Mec1200 Monitor de signos vitales</t>
  </si>
  <si>
    <t>Sensor De Saturación Cardiocap S5 GE Adultos Monitor de signos vitales</t>
  </si>
  <si>
    <t>Sensor De Saturación Drager vista 120 Adulto Nellcor (Generico) Monitor de signos vitales</t>
  </si>
  <si>
    <t>Sensor De Saturación Adultos Datex Ohmeda B650 Monitor de signos vitales</t>
  </si>
  <si>
    <t>Bateria Monitor Signos Vitales CardioCap S5 Monitor de signos vitales</t>
  </si>
  <si>
    <t>Bateria Monitor Umec 10 Monitor de signos vitales</t>
  </si>
  <si>
    <t>Cable ECG 5 Derivadas G.E. B650 Monitor de signos vitales</t>
  </si>
  <si>
    <t>Fuelle maquina de antessia Datex Ohmeda AESPIRE 7100</t>
  </si>
  <si>
    <t>CABLE DE COMUNICACIÓN DE MAQUINA DATEX OHMEDA AESPIRE 7100</t>
  </si>
  <si>
    <t>Ruedas maquina de antessia Datex Ohmeda AESPIRE 7100</t>
  </si>
  <si>
    <t>Sensores de flujo de maquinas de anestesia DATEX OHMEDA AESPIRE 7100</t>
  </si>
  <si>
    <t>Cable ECG 5 Derivadas Datex Homeda Cardiocap s5</t>
  </si>
  <si>
    <t>Manguera para conexión NIBP UMEC10 Monitro de Signos vitales</t>
  </si>
  <si>
    <t xml:space="preserve">Vaso vacutron VR - 1-W </t>
  </si>
  <si>
    <t xml:space="preserve">Celda de Oxigeno Ventilador Carefusion VELA comprehensive </t>
  </si>
  <si>
    <t>SENSOR SPO2 IMEC 10 ADULTO Monitor de signos Vitales</t>
  </si>
  <si>
    <t>Cable ECG Monitor de Signos vitales Infinity Draguer</t>
  </si>
  <si>
    <t>Sensor SPO2 mec 1200 neonatal</t>
  </si>
  <si>
    <t>Brazalete Adulto 1 Via</t>
  </si>
  <si>
    <t>Toco de actividad Uterina monitor fetal Edan F3</t>
  </si>
  <si>
    <t>Filtros de calentador de mantas</t>
  </si>
  <si>
    <t>Gasto 4 años entregado</t>
  </si>
  <si>
    <t>promedio mes / entregado</t>
  </si>
  <si>
    <t>Solicictado 4 años</t>
  </si>
  <si>
    <t>(1)Uci</t>
  </si>
  <si>
    <t>sala 9, gastro y angiografia solictud por 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</si>
</sst>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_-;\-&quot;$&quot;* #,##0_-;_-&quot;$&quot;* &quot;-&quot;_-;_-@_-"/>
    <numFmt numFmtId="165" formatCode="0;[Red]0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9C0006"/>
      <name val="Arial"/>
      <family val="2"/>
    </font>
    <font>
      <sz val="10"/>
      <color rgb="FF000000"/>
      <name val="Arial"/>
      <family val="2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4D79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7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/>
    <xf numFmtId="164" fontId="8" fillId="5" borderId="1" xfId="0" applyNumberFormat="1" applyFont="1" applyFill="1" applyBorder="1" applyAlignment="1">
      <alignment horizontal="center"/>
    </xf>
    <xf numFmtId="1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7" fillId="0" borderId="6" xfId="0" applyFont="1" applyBorder="1"/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5" xfId="0" applyFont="1" applyBorder="1"/>
    <xf numFmtId="0" fontId="7" fillId="0" borderId="4" xfId="0" applyFont="1" applyBorder="1"/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165" fontId="0" fillId="0" borderId="0" xfId="0" applyNumberFormat="1" applyAlignment="1">
      <alignment vertical="top" wrapText="1"/>
    </xf>
    <xf numFmtId="165" fontId="0" fillId="0" borderId="0" xfId="0" applyNumberFormat="1" applyAlignment="1">
      <alignment horizontal="left"/>
    </xf>
    <xf numFmtId="165" fontId="0" fillId="0" borderId="0" xfId="0" applyNumberFormat="1"/>
    <xf numFmtId="49" fontId="0" fillId="0" borderId="0" xfId="0" applyNumberFormat="1"/>
    <xf numFmtId="165" fontId="0" fillId="0" borderId="0" xfId="0" applyNumberFormat="1" applyAlignment="1">
      <alignment horizontal="center"/>
    </xf>
    <xf numFmtId="0" fontId="3" fillId="0" borderId="1" xfId="2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10" fillId="6" borderId="1" xfId="1" applyFont="1" applyFill="1" applyBorder="1" applyAlignment="1">
      <alignment horizontal="center" vertical="center"/>
    </xf>
    <xf numFmtId="14" fontId="11" fillId="0" borderId="1" xfId="2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1" applyFont="1" applyBorder="1"/>
    <xf numFmtId="0" fontId="10" fillId="7" borderId="1" xfId="1" applyFont="1" applyFill="1" applyBorder="1" applyAlignment="1">
      <alignment vertical="center" wrapText="1"/>
    </xf>
    <xf numFmtId="0" fontId="10" fillId="0" borderId="1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horizontal="center" vertical="top" wrapText="1"/>
    </xf>
    <xf numFmtId="165" fontId="0" fillId="0" borderId="1" xfId="0" applyNumberFormat="1" applyBorder="1" applyAlignment="1">
      <alignment vertical="top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0" fillId="0" borderId="1" xfId="0" applyBorder="1" applyAlignment="1">
      <alignment horizontal="left"/>
    </xf>
    <xf numFmtId="14" fontId="0" fillId="0" borderId="1" xfId="0" applyNumberFormat="1" applyBorder="1"/>
    <xf numFmtId="0" fontId="12" fillId="0" borderId="1" xfId="2" applyFont="1" applyBorder="1" applyAlignment="1">
      <alignment horizontal="center" vertical="center"/>
    </xf>
    <xf numFmtId="0" fontId="12" fillId="0" borderId="1" xfId="1" applyFont="1" applyBorder="1" applyAlignment="1">
      <alignment horizontal="left" vertical="center"/>
    </xf>
    <xf numFmtId="14" fontId="13" fillId="0" borderId="1" xfId="2" applyNumberFormat="1" applyFont="1" applyBorder="1" applyAlignment="1">
      <alignment horizontal="center" vertical="center"/>
    </xf>
    <xf numFmtId="0" fontId="14" fillId="0" borderId="1" xfId="1" applyFont="1" applyBorder="1"/>
    <xf numFmtId="49" fontId="0" fillId="6" borderId="1" xfId="0" applyNumberFormat="1" applyFill="1" applyBorder="1" applyAlignment="1">
      <alignment vertical="top" wrapText="1"/>
    </xf>
    <xf numFmtId="0" fontId="0" fillId="6" borderId="1" xfId="0" applyFill="1" applyBorder="1"/>
    <xf numFmtId="0" fontId="0" fillId="6" borderId="0" xfId="0" applyFill="1"/>
    <xf numFmtId="166" fontId="0" fillId="0" borderId="1" xfId="0" applyNumberFormat="1" applyBorder="1"/>
  </cellXfs>
  <cellStyles count="3">
    <cellStyle name="Normal" xfId="0" builtinId="0"/>
    <cellStyle name="Normal 2" xfId="1" xr:uid="{1CC09A77-4B5C-48A0-918F-853E0D21D337}"/>
    <cellStyle name="Normal 2 2" xfId="2" xr:uid="{54C68267-FC32-449E-B305-DA2694F61DEB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8F22-500A-4526-B64B-B406649ACD84}">
  <sheetPr filterMode="1"/>
  <dimension ref="A1:L1238"/>
  <sheetViews>
    <sheetView tabSelected="1" topLeftCell="C392" zoomScale="90" zoomScaleNormal="90" workbookViewId="0">
      <selection activeCell="G429" sqref="G429"/>
    </sheetView>
  </sheetViews>
  <sheetFormatPr baseColWidth="10" defaultColWidth="11.42578125" defaultRowHeight="15" x14ac:dyDescent="0.25"/>
  <cols>
    <col min="1" max="1" width="21.140625" style="19" customWidth="1"/>
    <col min="2" max="2" width="12.5703125" bestFit="1" customWidth="1"/>
    <col min="3" max="3" width="19.5703125" bestFit="1" customWidth="1"/>
    <col min="4" max="4" width="80.42578125" style="43" bestFit="1" customWidth="1"/>
    <col min="5" max="5" width="10.85546875" style="44" customWidth="1"/>
    <col min="6" max="6" width="14.7109375" style="44" bestFit="1" customWidth="1"/>
    <col min="7" max="7" width="11.140625" style="19" customWidth="1"/>
    <col min="8" max="8" width="12.140625" style="42" customWidth="1"/>
    <col min="9" max="9" width="162.28515625" style="43" bestFit="1" customWidth="1"/>
    <col min="10" max="11" width="7.42578125" style="42" bestFit="1" customWidth="1"/>
    <col min="12" max="13" width="81.140625" customWidth="1"/>
  </cols>
  <sheetData>
    <row r="1" spans="1:12" s="37" customFormat="1" ht="45" x14ac:dyDescent="0.25">
      <c r="A1" s="53" t="s">
        <v>0</v>
      </c>
      <c r="B1" s="54" t="s">
        <v>1</v>
      </c>
      <c r="C1" s="54" t="s">
        <v>2</v>
      </c>
      <c r="D1" s="55" t="s">
        <v>3</v>
      </c>
      <c r="E1" s="56" t="s">
        <v>4</v>
      </c>
      <c r="F1" s="56" t="s">
        <v>5</v>
      </c>
      <c r="G1" s="53" t="s">
        <v>6</v>
      </c>
      <c r="H1" s="57" t="s">
        <v>7</v>
      </c>
      <c r="I1" s="55" t="s">
        <v>8</v>
      </c>
      <c r="J1" s="40" t="s">
        <v>9</v>
      </c>
      <c r="K1" s="40">
        <v>2024</v>
      </c>
      <c r="L1" s="37" t="s">
        <v>10</v>
      </c>
    </row>
    <row r="2" spans="1:12" hidden="1" x14ac:dyDescent="0.25">
      <c r="A2" s="58">
        <v>45078</v>
      </c>
      <c r="B2" s="59"/>
      <c r="C2" s="59" t="s">
        <v>11</v>
      </c>
      <c r="D2" s="60" t="s">
        <v>12</v>
      </c>
      <c r="E2" s="61">
        <v>2</v>
      </c>
      <c r="F2" s="61">
        <v>2</v>
      </c>
      <c r="G2" s="58"/>
      <c r="H2" s="62">
        <v>0</v>
      </c>
      <c r="I2" s="60" t="s">
        <v>13</v>
      </c>
      <c r="J2" s="42">
        <v>6</v>
      </c>
      <c r="K2" s="41">
        <v>2023</v>
      </c>
    </row>
    <row r="3" spans="1:12" hidden="1" x14ac:dyDescent="0.25">
      <c r="A3" s="58">
        <v>45078</v>
      </c>
      <c r="B3" s="59"/>
      <c r="C3" s="59" t="s">
        <v>232</v>
      </c>
      <c r="D3" s="60" t="s">
        <v>15</v>
      </c>
      <c r="E3" s="61">
        <v>1</v>
      </c>
      <c r="F3" s="61">
        <v>1</v>
      </c>
      <c r="G3" s="58"/>
      <c r="H3" s="62">
        <v>0</v>
      </c>
      <c r="I3" s="60" t="s">
        <v>16</v>
      </c>
      <c r="J3" s="42">
        <v>6</v>
      </c>
      <c r="K3" s="41">
        <v>2023</v>
      </c>
    </row>
    <row r="4" spans="1:12" hidden="1" x14ac:dyDescent="0.25">
      <c r="A4" s="58">
        <v>45078</v>
      </c>
      <c r="B4" s="59"/>
      <c r="C4" s="59" t="s">
        <v>65</v>
      </c>
      <c r="D4" s="60" t="s">
        <v>1662</v>
      </c>
      <c r="E4" s="61">
        <v>2</v>
      </c>
      <c r="F4" s="61">
        <v>2</v>
      </c>
      <c r="G4" s="58"/>
      <c r="H4" s="62">
        <v>0</v>
      </c>
      <c r="I4" s="60" t="s">
        <v>17</v>
      </c>
      <c r="J4" s="42">
        <v>6</v>
      </c>
      <c r="K4" s="41">
        <v>2023</v>
      </c>
    </row>
    <row r="5" spans="1:12" hidden="1" x14ac:dyDescent="0.25">
      <c r="A5" s="58">
        <v>45078</v>
      </c>
      <c r="B5" s="59"/>
      <c r="C5" s="59" t="s">
        <v>18</v>
      </c>
      <c r="D5" s="60" t="s">
        <v>19</v>
      </c>
      <c r="E5" s="61">
        <v>3</v>
      </c>
      <c r="F5" s="61">
        <v>2</v>
      </c>
      <c r="G5" s="58"/>
      <c r="H5" s="62">
        <v>1</v>
      </c>
      <c r="I5" s="60" t="s">
        <v>20</v>
      </c>
      <c r="J5" s="42">
        <v>6</v>
      </c>
      <c r="K5" s="41">
        <v>2023</v>
      </c>
    </row>
    <row r="6" spans="1:12" hidden="1" x14ac:dyDescent="0.25">
      <c r="A6" s="58">
        <v>45078</v>
      </c>
      <c r="B6" s="59"/>
      <c r="C6" s="59" t="s">
        <v>21</v>
      </c>
      <c r="D6" s="60" t="s">
        <v>22</v>
      </c>
      <c r="E6" s="61">
        <v>3</v>
      </c>
      <c r="F6" s="61">
        <v>3</v>
      </c>
      <c r="G6" s="58"/>
      <c r="H6" s="62">
        <v>0</v>
      </c>
      <c r="I6" s="60" t="s">
        <v>23</v>
      </c>
      <c r="J6" s="42">
        <v>6</v>
      </c>
      <c r="K6" s="41">
        <v>2023</v>
      </c>
    </row>
    <row r="7" spans="1:12" hidden="1" x14ac:dyDescent="0.25">
      <c r="A7" s="58">
        <v>45078</v>
      </c>
      <c r="B7" s="59"/>
      <c r="C7" s="59" t="s">
        <v>24</v>
      </c>
      <c r="D7" s="60" t="s">
        <v>25</v>
      </c>
      <c r="E7" s="61">
        <v>1</v>
      </c>
      <c r="F7" s="61">
        <v>1</v>
      </c>
      <c r="G7" s="58"/>
      <c r="H7" s="62">
        <v>0</v>
      </c>
      <c r="I7" s="60" t="s">
        <v>16</v>
      </c>
      <c r="J7" s="42">
        <v>6</v>
      </c>
      <c r="K7" s="41">
        <v>2023</v>
      </c>
    </row>
    <row r="8" spans="1:12" hidden="1" x14ac:dyDescent="0.25">
      <c r="A8" s="58">
        <v>45108</v>
      </c>
      <c r="B8" s="59"/>
      <c r="C8" s="59" t="s">
        <v>11</v>
      </c>
      <c r="D8" s="60" t="s">
        <v>12</v>
      </c>
      <c r="E8" s="61">
        <v>2</v>
      </c>
      <c r="F8" s="61">
        <v>2</v>
      </c>
      <c r="G8" s="58"/>
      <c r="H8" s="62">
        <v>0</v>
      </c>
      <c r="I8" s="60" t="s">
        <v>26</v>
      </c>
      <c r="J8" s="42">
        <v>7</v>
      </c>
      <c r="K8" s="41">
        <v>2023</v>
      </c>
    </row>
    <row r="9" spans="1:12" hidden="1" x14ac:dyDescent="0.25">
      <c r="A9" s="58">
        <v>45108</v>
      </c>
      <c r="B9" s="59"/>
      <c r="C9" s="59" t="s">
        <v>27</v>
      </c>
      <c r="D9" s="60" t="s">
        <v>28</v>
      </c>
      <c r="E9" s="61">
        <v>1</v>
      </c>
      <c r="F9" s="61">
        <v>1</v>
      </c>
      <c r="G9" s="58"/>
      <c r="H9" s="62">
        <v>0</v>
      </c>
      <c r="I9" s="60" t="s">
        <v>16</v>
      </c>
      <c r="J9" s="42">
        <v>7</v>
      </c>
      <c r="K9" s="41">
        <v>2023</v>
      </c>
    </row>
    <row r="10" spans="1:12" hidden="1" x14ac:dyDescent="0.25">
      <c r="A10" s="58">
        <v>45108</v>
      </c>
      <c r="B10" s="59"/>
      <c r="C10" s="59" t="s">
        <v>18</v>
      </c>
      <c r="D10" s="60" t="s">
        <v>19</v>
      </c>
      <c r="E10" s="61">
        <v>1</v>
      </c>
      <c r="F10" s="61">
        <v>1</v>
      </c>
      <c r="G10" s="58"/>
      <c r="H10" s="62">
        <v>0</v>
      </c>
      <c r="I10" s="60" t="s">
        <v>16</v>
      </c>
      <c r="J10" s="42">
        <v>7</v>
      </c>
      <c r="K10" s="41">
        <v>2023</v>
      </c>
    </row>
    <row r="11" spans="1:12" hidden="1" x14ac:dyDescent="0.25">
      <c r="A11" s="58">
        <v>45108</v>
      </c>
      <c r="B11" s="59"/>
      <c r="C11" s="59" t="s">
        <v>29</v>
      </c>
      <c r="D11" s="60" t="s">
        <v>30</v>
      </c>
      <c r="E11" s="61">
        <v>7</v>
      </c>
      <c r="F11" s="61">
        <v>7</v>
      </c>
      <c r="G11" s="58"/>
      <c r="H11" s="62">
        <v>0</v>
      </c>
      <c r="I11" s="60" t="s">
        <v>31</v>
      </c>
      <c r="J11" s="42">
        <v>7</v>
      </c>
      <c r="K11" s="41">
        <v>2023</v>
      </c>
    </row>
    <row r="12" spans="1:12" hidden="1" x14ac:dyDescent="0.25">
      <c r="A12" s="58">
        <v>45108</v>
      </c>
      <c r="B12" s="59"/>
      <c r="C12" s="59" t="s">
        <v>1514</v>
      </c>
      <c r="D12" s="60" t="s">
        <v>32</v>
      </c>
      <c r="E12" s="61">
        <v>1</v>
      </c>
      <c r="F12" s="61"/>
      <c r="G12" s="58"/>
      <c r="H12" s="62">
        <v>1</v>
      </c>
      <c r="I12" s="60" t="s">
        <v>16</v>
      </c>
      <c r="J12" s="42">
        <v>7</v>
      </c>
      <c r="K12" s="41">
        <v>2023</v>
      </c>
    </row>
    <row r="13" spans="1:12" hidden="1" x14ac:dyDescent="0.25">
      <c r="A13" s="58">
        <v>45108</v>
      </c>
      <c r="B13" s="59"/>
      <c r="C13" s="59" t="s">
        <v>33</v>
      </c>
      <c r="D13" s="60" t="s">
        <v>34</v>
      </c>
      <c r="E13" s="61">
        <v>2</v>
      </c>
      <c r="F13" s="61">
        <v>2</v>
      </c>
      <c r="G13" s="58"/>
      <c r="H13" s="62">
        <v>0</v>
      </c>
      <c r="I13" s="60" t="s">
        <v>13</v>
      </c>
      <c r="J13" s="42">
        <v>7</v>
      </c>
      <c r="K13" s="41">
        <v>2023</v>
      </c>
    </row>
    <row r="14" spans="1:12" hidden="1" x14ac:dyDescent="0.25">
      <c r="A14" s="58">
        <v>45108</v>
      </c>
      <c r="B14" s="59"/>
      <c r="C14" s="59" t="s">
        <v>1125</v>
      </c>
      <c r="D14" s="60" t="s">
        <v>35</v>
      </c>
      <c r="E14" s="61">
        <v>2</v>
      </c>
      <c r="F14" s="61">
        <v>2</v>
      </c>
      <c r="G14" s="58"/>
      <c r="H14" s="62">
        <v>0</v>
      </c>
      <c r="I14" s="60" t="s">
        <v>13</v>
      </c>
      <c r="J14" s="42">
        <v>7</v>
      </c>
      <c r="K14" s="41">
        <v>2023</v>
      </c>
    </row>
    <row r="15" spans="1:12" hidden="1" x14ac:dyDescent="0.25">
      <c r="A15" s="58">
        <v>45108</v>
      </c>
      <c r="B15" s="59"/>
      <c r="C15" s="59" t="s">
        <v>231</v>
      </c>
      <c r="D15" s="60" t="s">
        <v>36</v>
      </c>
      <c r="E15" s="61">
        <v>5</v>
      </c>
      <c r="F15" s="61">
        <v>5</v>
      </c>
      <c r="G15" s="58"/>
      <c r="H15" s="62">
        <v>0</v>
      </c>
      <c r="I15" s="60" t="s">
        <v>37</v>
      </c>
      <c r="J15" s="42">
        <v>7</v>
      </c>
      <c r="K15" s="41">
        <v>2023</v>
      </c>
    </row>
    <row r="16" spans="1:12" hidden="1" x14ac:dyDescent="0.25">
      <c r="A16" s="58">
        <v>45108</v>
      </c>
      <c r="B16" s="59"/>
      <c r="C16" s="59" t="s">
        <v>38</v>
      </c>
      <c r="D16" s="60" t="s">
        <v>39</v>
      </c>
      <c r="E16" s="61">
        <v>12</v>
      </c>
      <c r="F16" s="61">
        <v>12</v>
      </c>
      <c r="G16" s="58"/>
      <c r="H16" s="62">
        <v>0</v>
      </c>
      <c r="I16" s="60" t="s">
        <v>40</v>
      </c>
      <c r="J16" s="42">
        <v>7</v>
      </c>
      <c r="K16" s="41">
        <v>2023</v>
      </c>
    </row>
    <row r="17" spans="1:11" hidden="1" x14ac:dyDescent="0.25">
      <c r="A17" s="58">
        <v>45108</v>
      </c>
      <c r="B17" s="59"/>
      <c r="C17" s="59" t="s">
        <v>41</v>
      </c>
      <c r="D17" s="60" t="s">
        <v>42</v>
      </c>
      <c r="E17" s="61">
        <v>1</v>
      </c>
      <c r="F17" s="61">
        <v>1</v>
      </c>
      <c r="G17" s="58"/>
      <c r="H17" s="62">
        <v>0</v>
      </c>
      <c r="I17" s="60" t="s">
        <v>16</v>
      </c>
      <c r="J17" s="42">
        <v>7</v>
      </c>
      <c r="K17" s="41">
        <v>2023</v>
      </c>
    </row>
    <row r="18" spans="1:11" x14ac:dyDescent="0.25">
      <c r="A18" s="58">
        <v>45108</v>
      </c>
      <c r="B18" s="59"/>
      <c r="C18" s="59" t="s">
        <v>43</v>
      </c>
      <c r="D18" s="60" t="s">
        <v>44</v>
      </c>
      <c r="E18" s="61">
        <v>2</v>
      </c>
      <c r="F18" s="61">
        <v>2</v>
      </c>
      <c r="G18" s="58"/>
      <c r="H18" s="62">
        <v>0</v>
      </c>
      <c r="I18" s="60" t="s">
        <v>45</v>
      </c>
      <c r="J18" s="42">
        <v>7</v>
      </c>
      <c r="K18" s="41">
        <v>2023</v>
      </c>
    </row>
    <row r="19" spans="1:11" hidden="1" x14ac:dyDescent="0.25">
      <c r="A19" s="58">
        <v>45139</v>
      </c>
      <c r="B19" s="59"/>
      <c r="C19" s="59" t="s">
        <v>46</v>
      </c>
      <c r="D19" s="60" t="s">
        <v>47</v>
      </c>
      <c r="E19" s="61">
        <v>5</v>
      </c>
      <c r="F19" s="61">
        <v>5</v>
      </c>
      <c r="G19" s="58"/>
      <c r="H19" s="62">
        <v>0</v>
      </c>
      <c r="I19" s="60" t="s">
        <v>48</v>
      </c>
      <c r="J19" s="42">
        <v>8</v>
      </c>
      <c r="K19" s="41">
        <v>2023</v>
      </c>
    </row>
    <row r="20" spans="1:11" hidden="1" x14ac:dyDescent="0.25">
      <c r="A20" s="58">
        <v>45139</v>
      </c>
      <c r="B20" s="59"/>
      <c r="C20" s="59" t="s">
        <v>27</v>
      </c>
      <c r="D20" s="60" t="s">
        <v>28</v>
      </c>
      <c r="E20" s="61">
        <v>1</v>
      </c>
      <c r="F20" s="61">
        <v>1</v>
      </c>
      <c r="G20" s="58"/>
      <c r="H20" s="62">
        <v>0</v>
      </c>
      <c r="I20" s="60" t="s">
        <v>49</v>
      </c>
      <c r="J20" s="42">
        <v>8</v>
      </c>
      <c r="K20" s="41">
        <v>2023</v>
      </c>
    </row>
    <row r="21" spans="1:11" hidden="1" x14ac:dyDescent="0.25">
      <c r="A21" s="58">
        <v>45139</v>
      </c>
      <c r="B21" s="59"/>
      <c r="C21" s="59" t="s">
        <v>18</v>
      </c>
      <c r="D21" s="60" t="s">
        <v>19</v>
      </c>
      <c r="E21" s="61">
        <v>2</v>
      </c>
      <c r="F21" s="61">
        <v>2</v>
      </c>
      <c r="G21" s="58"/>
      <c r="H21" s="62">
        <v>0</v>
      </c>
      <c r="I21" s="60" t="s">
        <v>50</v>
      </c>
      <c r="J21" s="42">
        <v>8</v>
      </c>
      <c r="K21" s="41">
        <v>2023</v>
      </c>
    </row>
    <row r="22" spans="1:11" x14ac:dyDescent="0.25">
      <c r="A22" s="58">
        <v>45139</v>
      </c>
      <c r="B22" s="59"/>
      <c r="C22" s="59" t="s">
        <v>43</v>
      </c>
      <c r="D22" s="60" t="s">
        <v>44</v>
      </c>
      <c r="E22" s="61">
        <v>2</v>
      </c>
      <c r="F22" s="61">
        <v>2</v>
      </c>
      <c r="G22" s="58"/>
      <c r="H22" s="62">
        <v>0</v>
      </c>
      <c r="I22" s="60" t="s">
        <v>51</v>
      </c>
      <c r="J22" s="42">
        <v>8</v>
      </c>
      <c r="K22" s="41">
        <v>2023</v>
      </c>
    </row>
    <row r="23" spans="1:11" hidden="1" x14ac:dyDescent="0.25">
      <c r="A23" s="58">
        <v>45139</v>
      </c>
      <c r="B23" s="59"/>
      <c r="C23" s="59" t="s">
        <v>574</v>
      </c>
      <c r="D23" s="60" t="s">
        <v>52</v>
      </c>
      <c r="E23" s="61">
        <v>3</v>
      </c>
      <c r="F23" s="61">
        <v>3</v>
      </c>
      <c r="G23" s="58"/>
      <c r="H23" s="62">
        <v>0</v>
      </c>
      <c r="I23" s="60" t="s">
        <v>48</v>
      </c>
      <c r="J23" s="42">
        <v>8</v>
      </c>
      <c r="K23" s="41">
        <v>2023</v>
      </c>
    </row>
    <row r="24" spans="1:11" hidden="1" x14ac:dyDescent="0.25">
      <c r="A24" s="58">
        <v>45139</v>
      </c>
      <c r="B24" s="59"/>
      <c r="C24" s="59" t="s">
        <v>53</v>
      </c>
      <c r="D24" s="60" t="s">
        <v>54</v>
      </c>
      <c r="E24" s="61">
        <v>2</v>
      </c>
      <c r="F24" s="61">
        <v>2</v>
      </c>
      <c r="G24" s="58"/>
      <c r="H24" s="62">
        <v>0</v>
      </c>
      <c r="I24" s="60" t="s">
        <v>55</v>
      </c>
      <c r="J24" s="42">
        <v>8</v>
      </c>
      <c r="K24" s="41">
        <v>2023</v>
      </c>
    </row>
    <row r="25" spans="1:11" hidden="1" x14ac:dyDescent="0.25">
      <c r="A25" s="58">
        <v>45139</v>
      </c>
      <c r="B25" s="59"/>
      <c r="C25" s="59" t="s">
        <v>33</v>
      </c>
      <c r="D25" s="60" t="s">
        <v>34</v>
      </c>
      <c r="E25" s="61">
        <v>3</v>
      </c>
      <c r="F25" s="61">
        <v>3</v>
      </c>
      <c r="G25" s="58"/>
      <c r="H25" s="62">
        <v>0</v>
      </c>
      <c r="I25" s="60" t="s">
        <v>56</v>
      </c>
      <c r="J25" s="42">
        <v>8</v>
      </c>
      <c r="K25" s="41">
        <v>2023</v>
      </c>
    </row>
    <row r="26" spans="1:11" hidden="1" x14ac:dyDescent="0.25">
      <c r="A26" s="58">
        <v>45139</v>
      </c>
      <c r="B26" s="59"/>
      <c r="C26" s="59" t="s">
        <v>29</v>
      </c>
      <c r="D26" s="60" t="s">
        <v>30</v>
      </c>
      <c r="E26" s="61">
        <v>3</v>
      </c>
      <c r="F26" s="61">
        <v>3</v>
      </c>
      <c r="G26" s="58"/>
      <c r="H26" s="62">
        <v>0</v>
      </c>
      <c r="I26" s="60" t="s">
        <v>57</v>
      </c>
      <c r="J26" s="42">
        <v>8</v>
      </c>
      <c r="K26" s="41">
        <v>2023</v>
      </c>
    </row>
    <row r="27" spans="1:11" hidden="1" x14ac:dyDescent="0.25">
      <c r="A27" s="58">
        <v>45139</v>
      </c>
      <c r="B27" s="59"/>
      <c r="C27" s="59" t="s">
        <v>11</v>
      </c>
      <c r="D27" s="60" t="s">
        <v>12</v>
      </c>
      <c r="E27" s="61">
        <v>2</v>
      </c>
      <c r="F27" s="61">
        <v>2</v>
      </c>
      <c r="G27" s="58"/>
      <c r="H27" s="62">
        <v>0</v>
      </c>
      <c r="I27" s="60" t="s">
        <v>58</v>
      </c>
      <c r="J27" s="42">
        <v>8</v>
      </c>
      <c r="K27" s="41">
        <v>2023</v>
      </c>
    </row>
    <row r="28" spans="1:11" hidden="1" x14ac:dyDescent="0.25">
      <c r="A28" s="58">
        <v>45170</v>
      </c>
      <c r="B28" s="59"/>
      <c r="C28" s="59" t="s">
        <v>231</v>
      </c>
      <c r="D28" s="60" t="s">
        <v>36</v>
      </c>
      <c r="E28" s="61">
        <v>11</v>
      </c>
      <c r="F28" s="61">
        <v>11</v>
      </c>
      <c r="G28" s="58"/>
      <c r="H28" s="62">
        <v>0</v>
      </c>
      <c r="I28" s="60" t="s">
        <v>59</v>
      </c>
      <c r="J28" s="42">
        <v>9</v>
      </c>
      <c r="K28" s="41">
        <v>2023</v>
      </c>
    </row>
    <row r="29" spans="1:11" hidden="1" x14ac:dyDescent="0.25">
      <c r="A29" s="58">
        <v>45170</v>
      </c>
      <c r="B29" s="59"/>
      <c r="C29" s="59" t="s">
        <v>60</v>
      </c>
      <c r="D29" s="60" t="s">
        <v>61</v>
      </c>
      <c r="E29" s="61">
        <v>3</v>
      </c>
      <c r="F29" s="61">
        <v>3</v>
      </c>
      <c r="G29" s="58"/>
      <c r="H29" s="62">
        <v>0</v>
      </c>
      <c r="I29" s="60" t="s">
        <v>62</v>
      </c>
      <c r="J29" s="42">
        <v>9</v>
      </c>
      <c r="K29" s="41">
        <v>2023</v>
      </c>
    </row>
    <row r="30" spans="1:11" hidden="1" x14ac:dyDescent="0.25">
      <c r="A30" s="58">
        <v>45170</v>
      </c>
      <c r="B30" s="59"/>
      <c r="C30" s="59" t="s">
        <v>11</v>
      </c>
      <c r="D30" s="60" t="s">
        <v>12</v>
      </c>
      <c r="E30" s="61">
        <v>1</v>
      </c>
      <c r="F30" s="61">
        <v>1</v>
      </c>
      <c r="G30" s="58"/>
      <c r="H30" s="62">
        <v>0</v>
      </c>
      <c r="I30" s="60" t="s">
        <v>63</v>
      </c>
      <c r="J30" s="42">
        <v>9</v>
      </c>
      <c r="K30" s="41">
        <v>2023</v>
      </c>
    </row>
    <row r="31" spans="1:11" hidden="1" x14ac:dyDescent="0.25">
      <c r="A31" s="58">
        <v>45170</v>
      </c>
      <c r="B31" s="59"/>
      <c r="C31" s="59" t="s">
        <v>232</v>
      </c>
      <c r="D31" s="60" t="s">
        <v>15</v>
      </c>
      <c r="E31" s="61">
        <v>2</v>
      </c>
      <c r="F31" s="61">
        <v>2</v>
      </c>
      <c r="G31" s="58"/>
      <c r="H31" s="62">
        <v>0</v>
      </c>
      <c r="I31" s="60" t="s">
        <v>64</v>
      </c>
      <c r="J31" s="42">
        <v>9</v>
      </c>
      <c r="K31" s="41">
        <v>2023</v>
      </c>
    </row>
    <row r="32" spans="1:11" hidden="1" x14ac:dyDescent="0.25">
      <c r="A32" s="58">
        <v>45170</v>
      </c>
      <c r="B32" s="59"/>
      <c r="C32" s="59" t="s">
        <v>65</v>
      </c>
      <c r="D32" s="60" t="s">
        <v>66</v>
      </c>
      <c r="E32" s="61">
        <v>3</v>
      </c>
      <c r="F32" s="61">
        <v>3</v>
      </c>
      <c r="G32" s="58"/>
      <c r="H32" s="62">
        <v>0</v>
      </c>
      <c r="I32" s="60" t="s">
        <v>67</v>
      </c>
      <c r="J32" s="42">
        <v>9</v>
      </c>
      <c r="K32" s="41">
        <v>2023</v>
      </c>
    </row>
    <row r="33" spans="1:11" hidden="1" x14ac:dyDescent="0.25">
      <c r="A33" s="58">
        <v>45170</v>
      </c>
      <c r="B33" s="59"/>
      <c r="C33" s="59" t="s">
        <v>68</v>
      </c>
      <c r="D33" s="60" t="s">
        <v>69</v>
      </c>
      <c r="E33" s="61">
        <v>2</v>
      </c>
      <c r="F33" s="61">
        <v>2</v>
      </c>
      <c r="G33" s="58"/>
      <c r="H33" s="62">
        <v>0</v>
      </c>
      <c r="I33" s="60" t="s">
        <v>70</v>
      </c>
      <c r="J33" s="42">
        <v>9</v>
      </c>
      <c r="K33" s="41">
        <v>2023</v>
      </c>
    </row>
    <row r="34" spans="1:11" hidden="1" x14ac:dyDescent="0.25">
      <c r="A34" s="58">
        <v>45170</v>
      </c>
      <c r="B34" s="59"/>
      <c r="C34" s="59" t="s">
        <v>71</v>
      </c>
      <c r="D34" s="60" t="s">
        <v>32</v>
      </c>
      <c r="E34" s="61">
        <v>1</v>
      </c>
      <c r="F34" s="61">
        <v>1</v>
      </c>
      <c r="G34" s="58"/>
      <c r="H34" s="62">
        <v>0</v>
      </c>
      <c r="I34" s="60" t="s">
        <v>73</v>
      </c>
      <c r="J34" s="42">
        <v>9</v>
      </c>
      <c r="K34" s="41">
        <v>2023</v>
      </c>
    </row>
    <row r="35" spans="1:11" hidden="1" x14ac:dyDescent="0.25">
      <c r="A35" s="58">
        <v>45170</v>
      </c>
      <c r="B35" s="59"/>
      <c r="C35" s="59" t="s">
        <v>74</v>
      </c>
      <c r="D35" s="60" t="s">
        <v>75</v>
      </c>
      <c r="E35" s="61">
        <v>1</v>
      </c>
      <c r="F35" s="61">
        <v>1</v>
      </c>
      <c r="G35" s="58"/>
      <c r="H35" s="62">
        <v>0</v>
      </c>
      <c r="I35" s="60" t="s">
        <v>63</v>
      </c>
      <c r="J35" s="42">
        <v>9</v>
      </c>
      <c r="K35" s="41">
        <v>2023</v>
      </c>
    </row>
    <row r="36" spans="1:11" hidden="1" x14ac:dyDescent="0.25">
      <c r="A36" s="58">
        <v>45200</v>
      </c>
      <c r="B36" s="59"/>
      <c r="C36" s="59" t="s">
        <v>46</v>
      </c>
      <c r="D36" s="60" t="s">
        <v>47</v>
      </c>
      <c r="E36" s="61">
        <v>7</v>
      </c>
      <c r="F36" s="61">
        <v>7</v>
      </c>
      <c r="G36" s="58"/>
      <c r="H36" s="62">
        <v>0</v>
      </c>
      <c r="I36" s="60" t="s">
        <v>76</v>
      </c>
      <c r="J36" s="42">
        <v>10</v>
      </c>
      <c r="K36" s="41">
        <v>2023</v>
      </c>
    </row>
    <row r="37" spans="1:11" hidden="1" x14ac:dyDescent="0.25">
      <c r="A37" s="58">
        <v>45200</v>
      </c>
      <c r="B37" s="59"/>
      <c r="C37" s="59" t="s">
        <v>27</v>
      </c>
      <c r="D37" s="60" t="s">
        <v>28</v>
      </c>
      <c r="E37" s="61">
        <v>1</v>
      </c>
      <c r="F37" s="61">
        <v>1</v>
      </c>
      <c r="G37" s="58"/>
      <c r="H37" s="62">
        <v>0</v>
      </c>
      <c r="I37" s="60" t="s">
        <v>77</v>
      </c>
      <c r="J37" s="42">
        <v>10</v>
      </c>
      <c r="K37" s="41">
        <v>2023</v>
      </c>
    </row>
    <row r="38" spans="1:11" hidden="1" x14ac:dyDescent="0.25">
      <c r="A38" s="58">
        <v>45200</v>
      </c>
      <c r="B38" s="59"/>
      <c r="C38" s="59" t="s">
        <v>65</v>
      </c>
      <c r="D38" s="60" t="s">
        <v>66</v>
      </c>
      <c r="E38" s="61">
        <v>4</v>
      </c>
      <c r="F38" s="61">
        <v>4</v>
      </c>
      <c r="G38" s="58"/>
      <c r="H38" s="62">
        <v>0</v>
      </c>
      <c r="I38" s="60" t="s">
        <v>78</v>
      </c>
      <c r="J38" s="42">
        <v>10</v>
      </c>
      <c r="K38" s="41">
        <v>2023</v>
      </c>
    </row>
    <row r="39" spans="1:11" hidden="1" x14ac:dyDescent="0.25">
      <c r="A39" s="58">
        <v>45200</v>
      </c>
      <c r="B39" s="59"/>
      <c r="C39" s="59" t="s">
        <v>29</v>
      </c>
      <c r="D39" s="60" t="s">
        <v>30</v>
      </c>
      <c r="E39" s="61">
        <v>5</v>
      </c>
      <c r="F39" s="61">
        <v>5</v>
      </c>
      <c r="G39" s="58"/>
      <c r="H39" s="62">
        <v>0</v>
      </c>
      <c r="I39" s="60" t="s">
        <v>79</v>
      </c>
      <c r="J39" s="42">
        <v>10</v>
      </c>
      <c r="K39" s="41">
        <v>2023</v>
      </c>
    </row>
    <row r="40" spans="1:11" hidden="1" x14ac:dyDescent="0.25">
      <c r="A40" s="58">
        <v>45200</v>
      </c>
      <c r="B40" s="59"/>
      <c r="C40" s="59" t="s">
        <v>231</v>
      </c>
      <c r="D40" s="60" t="s">
        <v>36</v>
      </c>
      <c r="E40" s="61">
        <v>10</v>
      </c>
      <c r="F40" s="61">
        <v>10</v>
      </c>
      <c r="G40" s="58"/>
      <c r="H40" s="62">
        <v>0</v>
      </c>
      <c r="I40" s="60" t="s">
        <v>80</v>
      </c>
      <c r="J40" s="42">
        <v>10</v>
      </c>
      <c r="K40" s="41">
        <v>2023</v>
      </c>
    </row>
    <row r="41" spans="1:11" hidden="1" x14ac:dyDescent="0.25">
      <c r="A41" s="58">
        <v>45200</v>
      </c>
      <c r="B41" s="59"/>
      <c r="C41" s="59" t="s">
        <v>81</v>
      </c>
      <c r="D41" s="60" t="s">
        <v>82</v>
      </c>
      <c r="E41" s="61">
        <v>4</v>
      </c>
      <c r="F41" s="61"/>
      <c r="G41" s="58"/>
      <c r="H41" s="62">
        <v>4</v>
      </c>
      <c r="I41" s="60" t="s">
        <v>83</v>
      </c>
      <c r="J41" s="42">
        <v>10</v>
      </c>
      <c r="K41" s="41">
        <v>2023</v>
      </c>
    </row>
    <row r="42" spans="1:11" hidden="1" x14ac:dyDescent="0.25">
      <c r="A42" s="58">
        <v>45200</v>
      </c>
      <c r="B42" s="59"/>
      <c r="C42" s="59" t="s">
        <v>84</v>
      </c>
      <c r="D42" s="60" t="s">
        <v>85</v>
      </c>
      <c r="E42" s="61">
        <v>3</v>
      </c>
      <c r="F42" s="61">
        <v>3</v>
      </c>
      <c r="G42" s="58"/>
      <c r="H42" s="62">
        <v>0</v>
      </c>
      <c r="I42" s="60" t="s">
        <v>86</v>
      </c>
      <c r="J42" s="42">
        <v>10</v>
      </c>
      <c r="K42" s="41">
        <v>2023</v>
      </c>
    </row>
    <row r="43" spans="1:11" hidden="1" x14ac:dyDescent="0.25">
      <c r="A43" s="58">
        <v>45200</v>
      </c>
      <c r="B43" s="59"/>
      <c r="C43" s="59" t="s">
        <v>14</v>
      </c>
      <c r="D43" s="60" t="s">
        <v>87</v>
      </c>
      <c r="E43" s="61">
        <v>2</v>
      </c>
      <c r="F43" s="61"/>
      <c r="G43" s="58"/>
      <c r="H43" s="62">
        <v>2</v>
      </c>
      <c r="I43" s="60"/>
      <c r="J43" s="42">
        <v>10</v>
      </c>
      <c r="K43" s="41">
        <v>2023</v>
      </c>
    </row>
    <row r="44" spans="1:11" hidden="1" x14ac:dyDescent="0.25">
      <c r="A44" s="58">
        <v>45200</v>
      </c>
      <c r="B44" s="59"/>
      <c r="C44" s="59" t="s">
        <v>41</v>
      </c>
      <c r="D44" s="60" t="s">
        <v>42</v>
      </c>
      <c r="E44" s="61">
        <v>1</v>
      </c>
      <c r="F44" s="61">
        <v>1</v>
      </c>
      <c r="G44" s="58"/>
      <c r="H44" s="62">
        <v>0</v>
      </c>
      <c r="I44" s="60" t="s">
        <v>88</v>
      </c>
      <c r="J44" s="42">
        <v>10</v>
      </c>
      <c r="K44" s="41">
        <v>2023</v>
      </c>
    </row>
    <row r="45" spans="1:11" x14ac:dyDescent="0.25">
      <c r="A45" s="58">
        <v>45200</v>
      </c>
      <c r="B45" s="59"/>
      <c r="C45" s="59" t="s">
        <v>43</v>
      </c>
      <c r="D45" s="60" t="s">
        <v>44</v>
      </c>
      <c r="E45" s="61">
        <v>5</v>
      </c>
      <c r="F45" s="61">
        <v>5</v>
      </c>
      <c r="G45" s="58"/>
      <c r="H45" s="62">
        <v>0</v>
      </c>
      <c r="I45" s="60" t="s">
        <v>89</v>
      </c>
      <c r="J45" s="42">
        <v>10</v>
      </c>
      <c r="K45" s="41">
        <v>2023</v>
      </c>
    </row>
    <row r="46" spans="1:11" hidden="1" x14ac:dyDescent="0.25">
      <c r="A46" s="58">
        <v>45231</v>
      </c>
      <c r="B46" s="59"/>
      <c r="C46" s="59" t="s">
        <v>231</v>
      </c>
      <c r="D46" s="60" t="s">
        <v>36</v>
      </c>
      <c r="E46" s="61">
        <v>10</v>
      </c>
      <c r="F46" s="61">
        <v>10</v>
      </c>
      <c r="G46" s="58">
        <v>45250</v>
      </c>
      <c r="H46" s="62">
        <v>0</v>
      </c>
      <c r="I46" s="60" t="s">
        <v>90</v>
      </c>
      <c r="J46" s="42">
        <v>11</v>
      </c>
      <c r="K46" s="41">
        <v>2023</v>
      </c>
    </row>
    <row r="47" spans="1:11" hidden="1" x14ac:dyDescent="0.25">
      <c r="A47" s="58">
        <v>45231</v>
      </c>
      <c r="B47" s="59"/>
      <c r="C47" s="59" t="s">
        <v>81</v>
      </c>
      <c r="D47" s="60" t="s">
        <v>82</v>
      </c>
      <c r="E47" s="61">
        <v>10</v>
      </c>
      <c r="F47" s="61">
        <v>10</v>
      </c>
      <c r="G47" s="58"/>
      <c r="H47" s="62">
        <v>0</v>
      </c>
      <c r="I47" s="60" t="s">
        <v>91</v>
      </c>
      <c r="J47" s="42">
        <v>11</v>
      </c>
      <c r="K47" s="41">
        <v>2023</v>
      </c>
    </row>
    <row r="48" spans="1:11" hidden="1" x14ac:dyDescent="0.25">
      <c r="A48" s="58">
        <v>45231</v>
      </c>
      <c r="B48" s="59"/>
      <c r="C48" s="59" t="s">
        <v>92</v>
      </c>
      <c r="D48" s="60" t="s">
        <v>93</v>
      </c>
      <c r="E48" s="61">
        <v>15</v>
      </c>
      <c r="F48" s="61">
        <v>15</v>
      </c>
      <c r="G48" s="58">
        <v>45244</v>
      </c>
      <c r="H48" s="62">
        <v>0</v>
      </c>
      <c r="I48" s="60" t="s">
        <v>94</v>
      </c>
      <c r="J48" s="42">
        <v>11</v>
      </c>
      <c r="K48" s="41">
        <v>2023</v>
      </c>
    </row>
    <row r="49" spans="1:11" hidden="1" x14ac:dyDescent="0.25">
      <c r="A49" s="58">
        <v>45231</v>
      </c>
      <c r="B49" s="59"/>
      <c r="C49" s="59" t="s">
        <v>27</v>
      </c>
      <c r="D49" s="60" t="s">
        <v>28</v>
      </c>
      <c r="E49" s="61">
        <v>1</v>
      </c>
      <c r="F49" s="61">
        <v>1</v>
      </c>
      <c r="G49" s="58">
        <v>45250</v>
      </c>
      <c r="H49" s="62">
        <v>0</v>
      </c>
      <c r="I49" s="60" t="s">
        <v>95</v>
      </c>
      <c r="J49" s="42">
        <v>11</v>
      </c>
      <c r="K49" s="41">
        <v>2023</v>
      </c>
    </row>
    <row r="50" spans="1:11" x14ac:dyDescent="0.25">
      <c r="A50" s="58">
        <v>45231</v>
      </c>
      <c r="B50" s="59"/>
      <c r="C50" s="59" t="s">
        <v>43</v>
      </c>
      <c r="D50" s="60" t="s">
        <v>44</v>
      </c>
      <c r="E50" s="61">
        <v>2</v>
      </c>
      <c r="F50" s="61">
        <v>2</v>
      </c>
      <c r="G50" s="58">
        <v>45250</v>
      </c>
      <c r="H50" s="62">
        <v>0</v>
      </c>
      <c r="I50" s="60" t="s">
        <v>96</v>
      </c>
      <c r="J50" s="42">
        <v>11</v>
      </c>
      <c r="K50" s="41">
        <v>2023</v>
      </c>
    </row>
    <row r="51" spans="1:11" hidden="1" x14ac:dyDescent="0.25">
      <c r="A51" s="58">
        <v>45231</v>
      </c>
      <c r="B51" s="59"/>
      <c r="C51" s="59" t="s">
        <v>97</v>
      </c>
      <c r="D51" s="60" t="s">
        <v>98</v>
      </c>
      <c r="E51" s="61">
        <v>2</v>
      </c>
      <c r="F51" s="61">
        <v>2</v>
      </c>
      <c r="G51" s="58">
        <v>45244</v>
      </c>
      <c r="H51" s="62">
        <v>0</v>
      </c>
      <c r="I51" s="60" t="s">
        <v>99</v>
      </c>
      <c r="J51" s="42">
        <v>11</v>
      </c>
      <c r="K51" s="41">
        <v>2023</v>
      </c>
    </row>
    <row r="52" spans="1:11" hidden="1" x14ac:dyDescent="0.25">
      <c r="A52" s="58">
        <v>45231</v>
      </c>
      <c r="B52" s="59"/>
      <c r="C52" s="59" t="s">
        <v>68</v>
      </c>
      <c r="D52" s="60" t="s">
        <v>69</v>
      </c>
      <c r="E52" s="61">
        <v>2</v>
      </c>
      <c r="F52" s="61">
        <v>1</v>
      </c>
      <c r="G52" s="58">
        <v>45244</v>
      </c>
      <c r="H52" s="62">
        <v>1</v>
      </c>
      <c r="I52" s="60" t="s">
        <v>100</v>
      </c>
      <c r="J52" s="42">
        <v>11</v>
      </c>
      <c r="K52" s="41">
        <v>2023</v>
      </c>
    </row>
    <row r="53" spans="1:11" hidden="1" x14ac:dyDescent="0.25">
      <c r="A53" s="58">
        <v>45231</v>
      </c>
      <c r="B53" s="59"/>
      <c r="C53" s="59" t="s">
        <v>38</v>
      </c>
      <c r="D53" s="60" t="s">
        <v>39</v>
      </c>
      <c r="E53" s="61">
        <v>5</v>
      </c>
      <c r="F53" s="61">
        <v>5</v>
      </c>
      <c r="G53" s="58">
        <v>45244</v>
      </c>
      <c r="H53" s="62">
        <v>0</v>
      </c>
      <c r="I53" s="60" t="s">
        <v>101</v>
      </c>
      <c r="J53" s="42">
        <v>11</v>
      </c>
      <c r="K53" s="41">
        <v>2023</v>
      </c>
    </row>
    <row r="54" spans="1:11" hidden="1" x14ac:dyDescent="0.25">
      <c r="A54" s="58">
        <v>45231</v>
      </c>
      <c r="B54" s="59"/>
      <c r="C54" s="59" t="s">
        <v>21</v>
      </c>
      <c r="D54" s="60" t="s">
        <v>22</v>
      </c>
      <c r="E54" s="61">
        <v>2</v>
      </c>
      <c r="F54" s="61">
        <v>2</v>
      </c>
      <c r="G54" s="58">
        <v>45244</v>
      </c>
      <c r="H54" s="62">
        <v>0</v>
      </c>
      <c r="I54" s="60" t="s">
        <v>102</v>
      </c>
      <c r="J54" s="42">
        <v>11</v>
      </c>
      <c r="K54" s="41">
        <v>2023</v>
      </c>
    </row>
    <row r="55" spans="1:11" hidden="1" x14ac:dyDescent="0.25">
      <c r="A55" s="58">
        <v>45231</v>
      </c>
      <c r="B55" s="59"/>
      <c r="C55" s="59" t="s">
        <v>14</v>
      </c>
      <c r="D55" s="60" t="s">
        <v>103</v>
      </c>
      <c r="E55" s="61">
        <v>2</v>
      </c>
      <c r="F55" s="61">
        <v>2</v>
      </c>
      <c r="G55" s="58">
        <v>45250</v>
      </c>
      <c r="H55" s="62">
        <v>0</v>
      </c>
      <c r="I55" s="60" t="s">
        <v>104</v>
      </c>
      <c r="J55" s="42">
        <v>11</v>
      </c>
      <c r="K55" s="41">
        <v>2023</v>
      </c>
    </row>
    <row r="56" spans="1:11" hidden="1" x14ac:dyDescent="0.25">
      <c r="A56" s="58">
        <v>45261</v>
      </c>
      <c r="B56" s="59"/>
      <c r="C56" s="59" t="s">
        <v>232</v>
      </c>
      <c r="D56" s="60" t="s">
        <v>15</v>
      </c>
      <c r="E56" s="61">
        <v>3</v>
      </c>
      <c r="F56" s="61">
        <v>3</v>
      </c>
      <c r="G56" s="58"/>
      <c r="H56" s="62">
        <v>0</v>
      </c>
      <c r="I56" s="60" t="s">
        <v>105</v>
      </c>
      <c r="J56" s="42">
        <v>12</v>
      </c>
      <c r="K56" s="41">
        <v>2023</v>
      </c>
    </row>
    <row r="57" spans="1:11" hidden="1" x14ac:dyDescent="0.25">
      <c r="A57" s="58">
        <v>45261</v>
      </c>
      <c r="B57" s="59"/>
      <c r="C57" s="59" t="s">
        <v>29</v>
      </c>
      <c r="D57" s="60" t="s">
        <v>30</v>
      </c>
      <c r="E57" s="61">
        <v>11</v>
      </c>
      <c r="F57" s="61">
        <v>11</v>
      </c>
      <c r="G57" s="58"/>
      <c r="H57" s="62">
        <v>0</v>
      </c>
      <c r="I57" s="60" t="s">
        <v>106</v>
      </c>
      <c r="J57" s="42">
        <v>12</v>
      </c>
      <c r="K57" s="41">
        <v>2023</v>
      </c>
    </row>
    <row r="58" spans="1:11" hidden="1" x14ac:dyDescent="0.25">
      <c r="A58" s="58">
        <v>45261</v>
      </c>
      <c r="B58" s="59"/>
      <c r="C58" s="59" t="s">
        <v>60</v>
      </c>
      <c r="D58" s="60" t="s">
        <v>61</v>
      </c>
      <c r="E58" s="61">
        <v>4</v>
      </c>
      <c r="F58" s="61">
        <v>4</v>
      </c>
      <c r="G58" s="58"/>
      <c r="H58" s="62">
        <v>0</v>
      </c>
      <c r="I58" s="60" t="s">
        <v>107</v>
      </c>
      <c r="J58" s="42">
        <v>12</v>
      </c>
      <c r="K58" s="41">
        <v>2023</v>
      </c>
    </row>
    <row r="59" spans="1:11" hidden="1" x14ac:dyDescent="0.25">
      <c r="A59" s="58">
        <v>45261</v>
      </c>
      <c r="B59" s="59"/>
      <c r="C59" s="59" t="s">
        <v>46</v>
      </c>
      <c r="D59" s="60" t="s">
        <v>47</v>
      </c>
      <c r="E59" s="61">
        <v>3</v>
      </c>
      <c r="F59" s="61">
        <v>3</v>
      </c>
      <c r="G59" s="58"/>
      <c r="H59" s="62">
        <v>0</v>
      </c>
      <c r="I59" s="60" t="s">
        <v>108</v>
      </c>
      <c r="J59" s="42">
        <v>12</v>
      </c>
      <c r="K59" s="41">
        <v>2023</v>
      </c>
    </row>
    <row r="60" spans="1:11" hidden="1" x14ac:dyDescent="0.25">
      <c r="A60" s="58">
        <v>45261</v>
      </c>
      <c r="B60" s="59"/>
      <c r="C60" s="59" t="s">
        <v>53</v>
      </c>
      <c r="D60" s="60" t="s">
        <v>54</v>
      </c>
      <c r="E60" s="61">
        <v>1</v>
      </c>
      <c r="F60" s="61">
        <v>1</v>
      </c>
      <c r="G60" s="58"/>
      <c r="H60" s="62">
        <v>0</v>
      </c>
      <c r="I60" s="60" t="s">
        <v>109</v>
      </c>
      <c r="J60" s="42">
        <v>12</v>
      </c>
      <c r="K60" s="41">
        <v>2023</v>
      </c>
    </row>
    <row r="61" spans="1:11" hidden="1" x14ac:dyDescent="0.25">
      <c r="A61" s="58">
        <v>45261</v>
      </c>
      <c r="B61" s="59"/>
      <c r="C61" s="59" t="s">
        <v>231</v>
      </c>
      <c r="D61" s="60" t="s">
        <v>36</v>
      </c>
      <c r="E61" s="61">
        <v>15</v>
      </c>
      <c r="F61" s="61">
        <v>15</v>
      </c>
      <c r="G61" s="58"/>
      <c r="H61" s="62">
        <v>0</v>
      </c>
      <c r="I61" s="60" t="s">
        <v>110</v>
      </c>
      <c r="J61" s="42">
        <v>12</v>
      </c>
      <c r="K61" s="41">
        <v>2023</v>
      </c>
    </row>
    <row r="62" spans="1:11" hidden="1" x14ac:dyDescent="0.25">
      <c r="A62" s="58">
        <v>45261</v>
      </c>
      <c r="B62" s="59"/>
      <c r="C62" s="59" t="s">
        <v>11</v>
      </c>
      <c r="D62" s="60" t="s">
        <v>111</v>
      </c>
      <c r="E62" s="61">
        <v>3</v>
      </c>
      <c r="F62" s="61">
        <v>3</v>
      </c>
      <c r="G62" s="58"/>
      <c r="H62" s="62">
        <v>0</v>
      </c>
      <c r="I62" s="60" t="s">
        <v>112</v>
      </c>
      <c r="J62" s="42">
        <v>12</v>
      </c>
      <c r="K62" s="41">
        <v>2023</v>
      </c>
    </row>
    <row r="63" spans="1:11" hidden="1" x14ac:dyDescent="0.25">
      <c r="A63" s="58">
        <v>45261</v>
      </c>
      <c r="B63" s="59"/>
      <c r="C63" s="59" t="s">
        <v>27</v>
      </c>
      <c r="D63" s="60" t="s">
        <v>28</v>
      </c>
      <c r="E63" s="61">
        <v>1</v>
      </c>
      <c r="F63" s="61"/>
      <c r="G63" s="58"/>
      <c r="H63" s="62">
        <v>1</v>
      </c>
      <c r="I63" s="60" t="s">
        <v>113</v>
      </c>
      <c r="J63" s="42">
        <v>12</v>
      </c>
      <c r="K63" s="41">
        <v>2023</v>
      </c>
    </row>
    <row r="64" spans="1:11" hidden="1" x14ac:dyDescent="0.25">
      <c r="A64" s="58">
        <v>45261</v>
      </c>
      <c r="B64" s="59"/>
      <c r="C64" s="59" t="s">
        <v>24</v>
      </c>
      <c r="D64" s="60" t="s">
        <v>25</v>
      </c>
      <c r="E64" s="61">
        <v>1</v>
      </c>
      <c r="F64" s="61">
        <v>1</v>
      </c>
      <c r="G64" s="58"/>
      <c r="H64" s="62">
        <v>0</v>
      </c>
      <c r="I64" s="60" t="s">
        <v>114</v>
      </c>
      <c r="J64" s="42">
        <v>12</v>
      </c>
      <c r="K64" s="41">
        <v>2023</v>
      </c>
    </row>
    <row r="65" spans="1:11" hidden="1" x14ac:dyDescent="0.25">
      <c r="A65" s="58">
        <v>45261</v>
      </c>
      <c r="B65" s="59"/>
      <c r="C65" s="59" t="s">
        <v>68</v>
      </c>
      <c r="D65" s="60" t="s">
        <v>69</v>
      </c>
      <c r="E65" s="61">
        <v>2</v>
      </c>
      <c r="F65" s="61"/>
      <c r="G65" s="58"/>
      <c r="H65" s="62">
        <v>2</v>
      </c>
      <c r="I65" s="60" t="s">
        <v>115</v>
      </c>
      <c r="J65" s="42">
        <v>12</v>
      </c>
      <c r="K65" s="41">
        <v>2023</v>
      </c>
    </row>
    <row r="66" spans="1:11" hidden="1" x14ac:dyDescent="0.25">
      <c r="A66" s="58">
        <v>45261</v>
      </c>
      <c r="B66" s="59"/>
      <c r="C66" s="59" t="s">
        <v>18</v>
      </c>
      <c r="D66" s="60" t="s">
        <v>19</v>
      </c>
      <c r="E66" s="61">
        <v>2</v>
      </c>
      <c r="F66" s="61">
        <v>2</v>
      </c>
      <c r="G66" s="58"/>
      <c r="H66" s="62">
        <v>0</v>
      </c>
      <c r="I66" s="60" t="s">
        <v>116</v>
      </c>
      <c r="J66" s="42">
        <v>12</v>
      </c>
      <c r="K66" s="41">
        <v>2023</v>
      </c>
    </row>
    <row r="67" spans="1:11" hidden="1" x14ac:dyDescent="0.25">
      <c r="A67" s="58">
        <v>45292</v>
      </c>
      <c r="B67" s="59"/>
      <c r="C67" s="59" t="s">
        <v>29</v>
      </c>
      <c r="D67" s="60" t="s">
        <v>30</v>
      </c>
      <c r="E67" s="61">
        <v>5</v>
      </c>
      <c r="F67" s="61">
        <v>5</v>
      </c>
      <c r="G67" s="58">
        <v>45309</v>
      </c>
      <c r="H67" s="62">
        <v>0</v>
      </c>
      <c r="I67" s="60" t="s">
        <v>117</v>
      </c>
      <c r="J67" s="42">
        <v>1</v>
      </c>
      <c r="K67" s="41">
        <v>2024</v>
      </c>
    </row>
    <row r="68" spans="1:11" hidden="1" x14ac:dyDescent="0.25">
      <c r="A68" s="58">
        <v>45292</v>
      </c>
      <c r="B68" s="59"/>
      <c r="C68" s="59" t="s">
        <v>53</v>
      </c>
      <c r="D68" s="60" t="s">
        <v>54</v>
      </c>
      <c r="E68" s="61">
        <v>1</v>
      </c>
      <c r="F68" s="61">
        <v>1</v>
      </c>
      <c r="G68" s="58">
        <v>45309</v>
      </c>
      <c r="H68" s="62">
        <v>0</v>
      </c>
      <c r="I68" s="60" t="s">
        <v>118</v>
      </c>
      <c r="J68" s="42">
        <v>1</v>
      </c>
      <c r="K68" s="41">
        <v>2024</v>
      </c>
    </row>
    <row r="69" spans="1:11" hidden="1" x14ac:dyDescent="0.25">
      <c r="A69" s="58">
        <v>45292</v>
      </c>
      <c r="B69" s="59"/>
      <c r="C69" s="59" t="s">
        <v>574</v>
      </c>
      <c r="D69" s="60" t="s">
        <v>52</v>
      </c>
      <c r="E69" s="61">
        <v>2</v>
      </c>
      <c r="F69" s="61">
        <v>2</v>
      </c>
      <c r="G69" s="58">
        <v>45309</v>
      </c>
      <c r="H69" s="62">
        <v>0</v>
      </c>
      <c r="I69" s="60" t="s">
        <v>119</v>
      </c>
      <c r="J69" s="42">
        <v>1</v>
      </c>
      <c r="K69" s="41">
        <v>2024</v>
      </c>
    </row>
    <row r="70" spans="1:11" hidden="1" x14ac:dyDescent="0.25">
      <c r="A70" s="58">
        <v>45292</v>
      </c>
      <c r="B70" s="59"/>
      <c r="C70" s="59" t="s">
        <v>231</v>
      </c>
      <c r="D70" s="60" t="s">
        <v>36</v>
      </c>
      <c r="E70" s="61">
        <v>5</v>
      </c>
      <c r="F70" s="61">
        <v>3</v>
      </c>
      <c r="G70" s="58">
        <v>45345</v>
      </c>
      <c r="H70" s="62">
        <v>2</v>
      </c>
      <c r="I70" s="60" t="s">
        <v>120</v>
      </c>
      <c r="J70" s="42">
        <v>1</v>
      </c>
      <c r="K70" s="41">
        <v>2024</v>
      </c>
    </row>
    <row r="71" spans="1:11" hidden="1" x14ac:dyDescent="0.25">
      <c r="A71" s="58">
        <v>45292</v>
      </c>
      <c r="B71" s="59"/>
      <c r="C71" s="59" t="s">
        <v>121</v>
      </c>
      <c r="D71" s="60" t="s">
        <v>122</v>
      </c>
      <c r="E71" s="61">
        <v>1</v>
      </c>
      <c r="F71" s="61">
        <v>1</v>
      </c>
      <c r="G71" s="58">
        <v>45309</v>
      </c>
      <c r="H71" s="62">
        <v>0</v>
      </c>
      <c r="I71" s="60" t="s">
        <v>123</v>
      </c>
      <c r="J71" s="42">
        <v>1</v>
      </c>
      <c r="K71" s="41">
        <v>2024</v>
      </c>
    </row>
    <row r="72" spans="1:11" hidden="1" x14ac:dyDescent="0.25">
      <c r="A72" s="58">
        <v>45292</v>
      </c>
      <c r="B72" s="59"/>
      <c r="C72" s="59" t="s">
        <v>18</v>
      </c>
      <c r="D72" s="60" t="s">
        <v>19</v>
      </c>
      <c r="E72" s="61">
        <v>2</v>
      </c>
      <c r="F72" s="61">
        <v>2</v>
      </c>
      <c r="G72" s="58">
        <v>45309</v>
      </c>
      <c r="H72" s="62">
        <v>0</v>
      </c>
      <c r="I72" s="60" t="s">
        <v>124</v>
      </c>
      <c r="J72" s="42">
        <v>1</v>
      </c>
      <c r="K72" s="41">
        <v>2024</v>
      </c>
    </row>
    <row r="73" spans="1:11" hidden="1" x14ac:dyDescent="0.25">
      <c r="A73" s="58">
        <v>45292</v>
      </c>
      <c r="B73" s="59"/>
      <c r="C73" s="59" t="s">
        <v>65</v>
      </c>
      <c r="D73" s="60" t="s">
        <v>66</v>
      </c>
      <c r="E73" s="61">
        <v>3</v>
      </c>
      <c r="F73" s="61">
        <v>3</v>
      </c>
      <c r="G73" s="58">
        <v>45309</v>
      </c>
      <c r="H73" s="62">
        <v>0</v>
      </c>
      <c r="I73" s="60" t="s">
        <v>125</v>
      </c>
      <c r="J73" s="42">
        <v>1</v>
      </c>
      <c r="K73" s="41">
        <v>2024</v>
      </c>
    </row>
    <row r="74" spans="1:11" hidden="1" x14ac:dyDescent="0.25">
      <c r="A74" s="58">
        <v>45292</v>
      </c>
      <c r="B74" s="59"/>
      <c r="C74" s="59" t="s">
        <v>126</v>
      </c>
      <c r="D74" s="60" t="s">
        <v>127</v>
      </c>
      <c r="E74" s="61">
        <v>3</v>
      </c>
      <c r="F74" s="61">
        <v>9</v>
      </c>
      <c r="G74" s="58">
        <v>45309</v>
      </c>
      <c r="H74" s="62">
        <v>-6</v>
      </c>
      <c r="I74" s="60" t="s">
        <v>128</v>
      </c>
      <c r="J74" s="42">
        <v>1</v>
      </c>
      <c r="K74" s="41">
        <v>2024</v>
      </c>
    </row>
    <row r="75" spans="1:11" hidden="1" x14ac:dyDescent="0.25">
      <c r="A75" s="58">
        <v>45292</v>
      </c>
      <c r="B75" s="59"/>
      <c r="C75" s="59" t="s">
        <v>14</v>
      </c>
      <c r="D75" s="60" t="s">
        <v>130</v>
      </c>
      <c r="E75" s="61">
        <v>1</v>
      </c>
      <c r="F75" s="61"/>
      <c r="G75" s="58"/>
      <c r="H75" s="62">
        <v>1</v>
      </c>
      <c r="I75" s="60" t="s">
        <v>118</v>
      </c>
      <c r="J75" s="42">
        <v>1</v>
      </c>
      <c r="K75" s="41">
        <v>2024</v>
      </c>
    </row>
    <row r="76" spans="1:11" hidden="1" x14ac:dyDescent="0.25">
      <c r="A76" s="58">
        <v>45292</v>
      </c>
      <c r="B76" s="59"/>
      <c r="C76" s="59" t="s">
        <v>46</v>
      </c>
      <c r="D76" s="60" t="s">
        <v>47</v>
      </c>
      <c r="E76" s="61">
        <v>2</v>
      </c>
      <c r="F76" s="61">
        <v>2</v>
      </c>
      <c r="G76" s="58">
        <v>45309</v>
      </c>
      <c r="H76" s="62">
        <v>0</v>
      </c>
      <c r="I76" s="60" t="s">
        <v>131</v>
      </c>
      <c r="J76" s="42">
        <v>1</v>
      </c>
      <c r="K76" s="41">
        <v>2024</v>
      </c>
    </row>
    <row r="77" spans="1:11" hidden="1" x14ac:dyDescent="0.25">
      <c r="A77" s="58">
        <v>45323</v>
      </c>
      <c r="B77" s="59"/>
      <c r="C77" s="59" t="s">
        <v>27</v>
      </c>
      <c r="D77" s="60" t="s">
        <v>132</v>
      </c>
      <c r="E77" s="61">
        <v>3</v>
      </c>
      <c r="F77" s="61">
        <v>3</v>
      </c>
      <c r="G77" s="58">
        <v>45345</v>
      </c>
      <c r="H77" s="62">
        <v>0</v>
      </c>
      <c r="I77" s="60" t="s">
        <v>133</v>
      </c>
      <c r="J77" s="42">
        <v>2</v>
      </c>
      <c r="K77" s="41">
        <v>2024</v>
      </c>
    </row>
    <row r="78" spans="1:11" hidden="1" x14ac:dyDescent="0.25">
      <c r="A78" s="58">
        <v>45323</v>
      </c>
      <c r="B78" s="59"/>
      <c r="C78" s="59" t="s">
        <v>121</v>
      </c>
      <c r="D78" s="60" t="s">
        <v>122</v>
      </c>
      <c r="E78" s="61">
        <v>3</v>
      </c>
      <c r="F78" s="61">
        <v>3</v>
      </c>
      <c r="G78" s="58">
        <v>45345</v>
      </c>
      <c r="H78" s="62">
        <v>0</v>
      </c>
      <c r="I78" s="60" t="s">
        <v>134</v>
      </c>
      <c r="J78" s="42">
        <v>2</v>
      </c>
      <c r="K78" s="41">
        <v>2024</v>
      </c>
    </row>
    <row r="79" spans="1:11" hidden="1" x14ac:dyDescent="0.25">
      <c r="A79" s="58">
        <v>45323</v>
      </c>
      <c r="B79" s="59"/>
      <c r="C79" s="59" t="s">
        <v>65</v>
      </c>
      <c r="D79" s="60" t="s">
        <v>66</v>
      </c>
      <c r="E79" s="61">
        <v>3</v>
      </c>
      <c r="F79" s="61">
        <v>2</v>
      </c>
      <c r="G79" s="58">
        <v>45345</v>
      </c>
      <c r="H79" s="62">
        <v>1</v>
      </c>
      <c r="I79" s="60" t="s">
        <v>135</v>
      </c>
      <c r="J79" s="42">
        <v>2</v>
      </c>
      <c r="K79" s="41">
        <v>2024</v>
      </c>
    </row>
    <row r="80" spans="1:11" hidden="1" x14ac:dyDescent="0.25">
      <c r="A80" s="58">
        <v>45323</v>
      </c>
      <c r="B80" s="59"/>
      <c r="C80" s="59" t="s">
        <v>29</v>
      </c>
      <c r="D80" s="60" t="s">
        <v>30</v>
      </c>
      <c r="E80" s="61">
        <v>3</v>
      </c>
      <c r="F80" s="61">
        <v>3</v>
      </c>
      <c r="G80" s="58">
        <v>45345</v>
      </c>
      <c r="H80" s="62">
        <v>0</v>
      </c>
      <c r="I80" s="60" t="s">
        <v>136</v>
      </c>
      <c r="J80" s="42">
        <v>2</v>
      </c>
      <c r="K80" s="41">
        <v>2024</v>
      </c>
    </row>
    <row r="81" spans="1:11" hidden="1" x14ac:dyDescent="0.25">
      <c r="A81" s="58">
        <v>45323</v>
      </c>
      <c r="B81" s="59"/>
      <c r="C81" s="59" t="s">
        <v>231</v>
      </c>
      <c r="D81" s="60" t="s">
        <v>36</v>
      </c>
      <c r="E81" s="61">
        <v>6</v>
      </c>
      <c r="F81" s="61"/>
      <c r="G81" s="58"/>
      <c r="H81" s="62">
        <v>6</v>
      </c>
      <c r="I81" s="60" t="s">
        <v>137</v>
      </c>
      <c r="J81" s="42">
        <v>2</v>
      </c>
      <c r="K81" s="41">
        <v>2024</v>
      </c>
    </row>
    <row r="82" spans="1:11" hidden="1" x14ac:dyDescent="0.25">
      <c r="A82" s="58">
        <v>45323</v>
      </c>
      <c r="B82" s="59"/>
      <c r="C82" s="59" t="s">
        <v>21</v>
      </c>
      <c r="D82" s="60" t="s">
        <v>22</v>
      </c>
      <c r="E82" s="61">
        <v>3</v>
      </c>
      <c r="F82" s="61"/>
      <c r="G82" s="58"/>
      <c r="H82" s="62">
        <v>3</v>
      </c>
      <c r="I82" s="60" t="s">
        <v>138</v>
      </c>
      <c r="J82" s="42">
        <v>2</v>
      </c>
      <c r="K82" s="41">
        <v>2024</v>
      </c>
    </row>
    <row r="83" spans="1:11" hidden="1" x14ac:dyDescent="0.25">
      <c r="A83" s="58">
        <v>45323</v>
      </c>
      <c r="B83" s="59"/>
      <c r="C83" s="59" t="s">
        <v>18</v>
      </c>
      <c r="D83" s="60" t="s">
        <v>19</v>
      </c>
      <c r="E83" s="61">
        <v>2</v>
      </c>
      <c r="F83" s="61">
        <v>2</v>
      </c>
      <c r="G83" s="58">
        <v>45345</v>
      </c>
      <c r="H83" s="62">
        <v>0</v>
      </c>
      <c r="I83" s="60" t="s">
        <v>139</v>
      </c>
      <c r="J83" s="42">
        <v>2</v>
      </c>
      <c r="K83" s="41">
        <v>2024</v>
      </c>
    </row>
    <row r="84" spans="1:11" hidden="1" x14ac:dyDescent="0.25">
      <c r="A84" s="58">
        <v>45352</v>
      </c>
      <c r="B84" s="59"/>
      <c r="C84" s="59" t="s">
        <v>14</v>
      </c>
      <c r="D84" s="60" t="s">
        <v>132</v>
      </c>
      <c r="E84" s="61">
        <v>2</v>
      </c>
      <c r="F84" s="61"/>
      <c r="G84" s="58"/>
      <c r="H84" s="62">
        <v>2</v>
      </c>
      <c r="I84" s="60" t="s">
        <v>133</v>
      </c>
      <c r="J84" s="42">
        <v>3</v>
      </c>
      <c r="K84" s="41">
        <v>2024</v>
      </c>
    </row>
    <row r="85" spans="1:11" hidden="1" x14ac:dyDescent="0.25">
      <c r="A85" s="58">
        <v>45352</v>
      </c>
      <c r="B85" s="59"/>
      <c r="C85" s="59" t="s">
        <v>29</v>
      </c>
      <c r="D85" s="60" t="s">
        <v>30</v>
      </c>
      <c r="E85" s="61">
        <v>5</v>
      </c>
      <c r="F85" s="61"/>
      <c r="G85" s="58"/>
      <c r="H85" s="62">
        <v>5</v>
      </c>
      <c r="I85" s="60" t="s">
        <v>136</v>
      </c>
      <c r="J85" s="42">
        <v>3</v>
      </c>
      <c r="K85" s="41">
        <v>2024</v>
      </c>
    </row>
    <row r="86" spans="1:11" hidden="1" x14ac:dyDescent="0.25">
      <c r="A86" s="58">
        <v>45352</v>
      </c>
      <c r="B86" s="59"/>
      <c r="C86" s="59" t="s">
        <v>231</v>
      </c>
      <c r="D86" s="60" t="s">
        <v>36</v>
      </c>
      <c r="E86" s="61">
        <v>5</v>
      </c>
      <c r="F86" s="61"/>
      <c r="G86" s="58"/>
      <c r="H86" s="62">
        <v>5</v>
      </c>
      <c r="I86" s="60" t="s">
        <v>137</v>
      </c>
      <c r="J86" s="42">
        <v>3</v>
      </c>
      <c r="K86" s="41">
        <v>2024</v>
      </c>
    </row>
    <row r="87" spans="1:11" hidden="1" x14ac:dyDescent="0.25">
      <c r="A87" s="58">
        <v>45352</v>
      </c>
      <c r="B87" s="59"/>
      <c r="C87" s="59" t="s">
        <v>18</v>
      </c>
      <c r="D87" s="60" t="s">
        <v>19</v>
      </c>
      <c r="E87" s="61">
        <v>2</v>
      </c>
      <c r="F87" s="61"/>
      <c r="G87" s="58"/>
      <c r="H87" s="62">
        <v>2</v>
      </c>
      <c r="I87" s="60" t="s">
        <v>139</v>
      </c>
      <c r="J87" s="42">
        <v>3</v>
      </c>
      <c r="K87" s="41">
        <v>2024</v>
      </c>
    </row>
    <row r="88" spans="1:11" hidden="1" x14ac:dyDescent="0.25">
      <c r="A88" s="58">
        <v>45352</v>
      </c>
      <c r="B88" s="59"/>
      <c r="C88" s="59" t="s">
        <v>14</v>
      </c>
      <c r="D88" s="60" t="s">
        <v>140</v>
      </c>
      <c r="E88" s="61">
        <v>3</v>
      </c>
      <c r="F88" s="61"/>
      <c r="G88" s="58"/>
      <c r="H88" s="62">
        <v>3</v>
      </c>
      <c r="I88" s="60" t="s">
        <v>141</v>
      </c>
      <c r="J88" s="42">
        <v>3</v>
      </c>
      <c r="K88" s="41">
        <v>2024</v>
      </c>
    </row>
    <row r="89" spans="1:11" hidden="1" x14ac:dyDescent="0.25">
      <c r="A89" s="58">
        <v>45352</v>
      </c>
      <c r="B89" s="59"/>
      <c r="C89" s="59" t="s">
        <v>60</v>
      </c>
      <c r="D89" s="60" t="s">
        <v>61</v>
      </c>
      <c r="E89" s="61">
        <v>2</v>
      </c>
      <c r="F89" s="61"/>
      <c r="G89" s="58"/>
      <c r="H89" s="62">
        <v>2</v>
      </c>
      <c r="I89" s="60" t="s">
        <v>142</v>
      </c>
      <c r="J89" s="42">
        <v>3</v>
      </c>
      <c r="K89" s="41">
        <v>2024</v>
      </c>
    </row>
    <row r="90" spans="1:11" hidden="1" x14ac:dyDescent="0.25">
      <c r="A90" s="58">
        <v>45352</v>
      </c>
      <c r="B90" s="59"/>
      <c r="C90" s="59" t="s">
        <v>46</v>
      </c>
      <c r="D90" s="60" t="s">
        <v>47</v>
      </c>
      <c r="E90" s="61">
        <v>4</v>
      </c>
      <c r="F90" s="61"/>
      <c r="G90" s="58"/>
      <c r="H90" s="62">
        <v>4</v>
      </c>
      <c r="I90" s="60" t="s">
        <v>143</v>
      </c>
      <c r="J90" s="42">
        <v>3</v>
      </c>
      <c r="K90" s="41">
        <v>2024</v>
      </c>
    </row>
    <row r="91" spans="1:11" hidden="1" x14ac:dyDescent="0.25">
      <c r="A91" s="58">
        <v>45352</v>
      </c>
      <c r="B91" s="59"/>
      <c r="C91" s="59" t="s">
        <v>144</v>
      </c>
      <c r="D91" s="60" t="s">
        <v>145</v>
      </c>
      <c r="E91" s="61">
        <v>2</v>
      </c>
      <c r="F91" s="61"/>
      <c r="G91" s="58"/>
      <c r="H91" s="62">
        <v>2</v>
      </c>
      <c r="I91" s="60" t="s">
        <v>146</v>
      </c>
      <c r="J91" s="42">
        <v>3</v>
      </c>
      <c r="K91" s="41">
        <v>2024</v>
      </c>
    </row>
    <row r="92" spans="1:11" hidden="1" x14ac:dyDescent="0.25">
      <c r="A92" s="58">
        <v>45352</v>
      </c>
      <c r="B92" s="59"/>
      <c r="C92" s="59" t="s">
        <v>1514</v>
      </c>
      <c r="D92" s="60" t="s">
        <v>32</v>
      </c>
      <c r="E92" s="61">
        <v>1</v>
      </c>
      <c r="F92" s="61"/>
      <c r="G92" s="58"/>
      <c r="H92" s="62">
        <v>1</v>
      </c>
      <c r="I92" s="60" t="s">
        <v>147</v>
      </c>
      <c r="J92" s="42">
        <v>3</v>
      </c>
      <c r="K92" s="41">
        <v>2024</v>
      </c>
    </row>
    <row r="93" spans="1:11" hidden="1" x14ac:dyDescent="0.25">
      <c r="A93" s="58">
        <v>45383</v>
      </c>
      <c r="B93" s="59"/>
      <c r="C93" s="59" t="s">
        <v>27</v>
      </c>
      <c r="D93" s="60" t="s">
        <v>132</v>
      </c>
      <c r="E93" s="61">
        <v>3</v>
      </c>
      <c r="F93" s="61">
        <v>3</v>
      </c>
      <c r="G93" s="58">
        <v>45418</v>
      </c>
      <c r="H93" s="62">
        <v>0</v>
      </c>
      <c r="I93" s="60" t="s">
        <v>133</v>
      </c>
      <c r="J93" s="42">
        <v>4</v>
      </c>
      <c r="K93" s="41">
        <v>2024</v>
      </c>
    </row>
    <row r="94" spans="1:11" hidden="1" x14ac:dyDescent="0.25">
      <c r="A94" s="58">
        <v>45383</v>
      </c>
      <c r="B94" s="59"/>
      <c r="C94" s="59" t="s">
        <v>29</v>
      </c>
      <c r="D94" s="60" t="s">
        <v>30</v>
      </c>
      <c r="E94" s="61">
        <v>5</v>
      </c>
      <c r="F94" s="61">
        <v>5</v>
      </c>
      <c r="G94" s="58">
        <v>45418</v>
      </c>
      <c r="H94" s="62">
        <v>0</v>
      </c>
      <c r="I94" s="60" t="s">
        <v>148</v>
      </c>
      <c r="J94" s="42">
        <v>4</v>
      </c>
      <c r="K94" s="41">
        <v>2024</v>
      </c>
    </row>
    <row r="95" spans="1:11" hidden="1" x14ac:dyDescent="0.25">
      <c r="A95" s="58">
        <v>45383</v>
      </c>
      <c r="B95" s="59"/>
      <c r="C95" s="59" t="s">
        <v>231</v>
      </c>
      <c r="D95" s="60" t="s">
        <v>36</v>
      </c>
      <c r="E95" s="61">
        <v>15</v>
      </c>
      <c r="F95" s="61">
        <v>15</v>
      </c>
      <c r="G95" s="58" t="s">
        <v>149</v>
      </c>
      <c r="H95" s="62">
        <v>0</v>
      </c>
      <c r="I95" s="60" t="s">
        <v>150</v>
      </c>
      <c r="J95" s="42">
        <v>4</v>
      </c>
      <c r="K95" s="41">
        <v>2024</v>
      </c>
    </row>
    <row r="96" spans="1:11" hidden="1" x14ac:dyDescent="0.25">
      <c r="A96" s="58">
        <v>45383</v>
      </c>
      <c r="B96" s="59"/>
      <c r="C96" s="59" t="s">
        <v>18</v>
      </c>
      <c r="D96" s="60" t="s">
        <v>19</v>
      </c>
      <c r="E96" s="61">
        <v>3</v>
      </c>
      <c r="F96" s="61">
        <v>3</v>
      </c>
      <c r="G96" s="58">
        <v>45418</v>
      </c>
      <c r="H96" s="62">
        <v>0</v>
      </c>
      <c r="I96" s="60" t="s">
        <v>151</v>
      </c>
      <c r="J96" s="42">
        <v>4</v>
      </c>
      <c r="K96" s="41">
        <v>2024</v>
      </c>
    </row>
    <row r="97" spans="1:11" hidden="1" x14ac:dyDescent="0.25">
      <c r="A97" s="58">
        <v>45383</v>
      </c>
      <c r="B97" s="59"/>
      <c r="C97" s="59" t="s">
        <v>14</v>
      </c>
      <c r="D97" s="60" t="s">
        <v>140</v>
      </c>
      <c r="E97" s="61">
        <v>2</v>
      </c>
      <c r="F97" s="61"/>
      <c r="G97" s="58"/>
      <c r="H97" s="62">
        <v>2</v>
      </c>
      <c r="I97" s="60" t="s">
        <v>141</v>
      </c>
      <c r="J97" s="42">
        <v>4</v>
      </c>
      <c r="K97" s="41">
        <v>2024</v>
      </c>
    </row>
    <row r="98" spans="1:11" hidden="1" x14ac:dyDescent="0.25">
      <c r="A98" s="58">
        <v>45383</v>
      </c>
      <c r="B98" s="59"/>
      <c r="C98" s="59" t="s">
        <v>46</v>
      </c>
      <c r="D98" s="60" t="s">
        <v>47</v>
      </c>
      <c r="E98" s="61">
        <v>4</v>
      </c>
      <c r="F98" s="61"/>
      <c r="G98" s="58"/>
      <c r="H98" s="62">
        <v>4</v>
      </c>
      <c r="I98" s="60" t="s">
        <v>152</v>
      </c>
      <c r="J98" s="42">
        <v>4</v>
      </c>
      <c r="K98" s="41">
        <v>2024</v>
      </c>
    </row>
    <row r="99" spans="1:11" hidden="1" x14ac:dyDescent="0.25">
      <c r="A99" s="58">
        <v>45383</v>
      </c>
      <c r="B99" s="59"/>
      <c r="C99" s="59" t="s">
        <v>126</v>
      </c>
      <c r="D99" s="60" t="s">
        <v>127</v>
      </c>
      <c r="E99" s="61">
        <v>3</v>
      </c>
      <c r="F99" s="61">
        <v>3</v>
      </c>
      <c r="G99" s="58">
        <v>45418</v>
      </c>
      <c r="H99" s="62">
        <v>0</v>
      </c>
      <c r="I99" s="60" t="s">
        <v>153</v>
      </c>
      <c r="J99" s="42">
        <v>4</v>
      </c>
      <c r="K99" s="41">
        <v>2024</v>
      </c>
    </row>
    <row r="100" spans="1:11" x14ac:dyDescent="0.25">
      <c r="A100" s="58">
        <v>45383</v>
      </c>
      <c r="B100" s="59"/>
      <c r="C100" s="59" t="s">
        <v>33</v>
      </c>
      <c r="D100" s="60" t="s">
        <v>154</v>
      </c>
      <c r="E100" s="61">
        <v>5</v>
      </c>
      <c r="F100" s="61"/>
      <c r="G100" s="58"/>
      <c r="H100" s="62">
        <v>5</v>
      </c>
      <c r="I100" s="60" t="s">
        <v>155</v>
      </c>
      <c r="J100" s="42">
        <v>4</v>
      </c>
      <c r="K100" s="41">
        <v>2024</v>
      </c>
    </row>
    <row r="101" spans="1:11" x14ac:dyDescent="0.25">
      <c r="A101" s="58">
        <v>45383</v>
      </c>
      <c r="B101" s="59"/>
      <c r="C101" s="59" t="s">
        <v>156</v>
      </c>
      <c r="D101" s="60" t="s">
        <v>157</v>
      </c>
      <c r="E101" s="61">
        <v>1</v>
      </c>
      <c r="F101" s="61"/>
      <c r="G101" s="58"/>
      <c r="H101" s="62">
        <v>1</v>
      </c>
      <c r="I101" s="60" t="s">
        <v>158</v>
      </c>
      <c r="J101" s="42">
        <v>4</v>
      </c>
      <c r="K101" s="41">
        <v>2024</v>
      </c>
    </row>
    <row r="102" spans="1:11" hidden="1" x14ac:dyDescent="0.25">
      <c r="A102" s="58">
        <v>45383</v>
      </c>
      <c r="B102" s="59"/>
      <c r="C102" s="59" t="s">
        <v>1514</v>
      </c>
      <c r="D102" s="60" t="s">
        <v>32</v>
      </c>
      <c r="E102" s="61">
        <v>1</v>
      </c>
      <c r="F102" s="61"/>
      <c r="G102" s="58"/>
      <c r="H102" s="62">
        <v>1</v>
      </c>
      <c r="I102" s="60" t="s">
        <v>159</v>
      </c>
      <c r="J102" s="42">
        <v>4</v>
      </c>
      <c r="K102" s="41">
        <v>2024</v>
      </c>
    </row>
    <row r="103" spans="1:11" hidden="1" x14ac:dyDescent="0.25">
      <c r="A103" s="58">
        <v>45383</v>
      </c>
      <c r="B103" s="59"/>
      <c r="C103" s="59" t="s">
        <v>60</v>
      </c>
      <c r="D103" s="60" t="s">
        <v>61</v>
      </c>
      <c r="E103" s="61">
        <v>2</v>
      </c>
      <c r="F103" s="61"/>
      <c r="G103" s="58"/>
      <c r="H103" s="62">
        <v>2</v>
      </c>
      <c r="I103" s="60" t="s">
        <v>146</v>
      </c>
      <c r="J103" s="42">
        <v>4</v>
      </c>
      <c r="K103" s="41">
        <v>2024</v>
      </c>
    </row>
    <row r="104" spans="1:11" hidden="1" x14ac:dyDescent="0.25">
      <c r="A104" s="58">
        <v>45413</v>
      </c>
      <c r="B104" s="59"/>
      <c r="C104" s="59" t="s">
        <v>27</v>
      </c>
      <c r="D104" s="60" t="s">
        <v>132</v>
      </c>
      <c r="E104" s="61">
        <v>4</v>
      </c>
      <c r="F104" s="61">
        <v>4</v>
      </c>
      <c r="G104" s="58">
        <v>45436</v>
      </c>
      <c r="H104" s="62">
        <v>0</v>
      </c>
      <c r="I104" s="60" t="s">
        <v>160</v>
      </c>
      <c r="J104" s="42">
        <v>5</v>
      </c>
      <c r="K104" s="41">
        <v>2024</v>
      </c>
    </row>
    <row r="105" spans="1:11" hidden="1" x14ac:dyDescent="0.25">
      <c r="A105" s="58">
        <v>45413</v>
      </c>
      <c r="B105" s="59"/>
      <c r="C105" s="59" t="s">
        <v>29</v>
      </c>
      <c r="D105" s="60" t="s">
        <v>30</v>
      </c>
      <c r="E105" s="61">
        <v>3</v>
      </c>
      <c r="F105" s="61"/>
      <c r="G105" s="58"/>
      <c r="H105" s="62">
        <v>3</v>
      </c>
      <c r="I105" s="60" t="s">
        <v>148</v>
      </c>
      <c r="J105" s="42">
        <v>5</v>
      </c>
      <c r="K105" s="41">
        <v>2024</v>
      </c>
    </row>
    <row r="106" spans="1:11" hidden="1" x14ac:dyDescent="0.25">
      <c r="A106" s="58">
        <v>45413</v>
      </c>
      <c r="B106" s="59"/>
      <c r="C106" s="59" t="s">
        <v>231</v>
      </c>
      <c r="D106" s="60" t="s">
        <v>36</v>
      </c>
      <c r="E106" s="61">
        <v>10</v>
      </c>
      <c r="F106" s="61">
        <v>10</v>
      </c>
      <c r="G106" s="58">
        <v>45456</v>
      </c>
      <c r="H106" s="62">
        <v>0</v>
      </c>
      <c r="I106" s="60" t="s">
        <v>150</v>
      </c>
      <c r="J106" s="42">
        <v>5</v>
      </c>
      <c r="K106" s="41">
        <v>2024</v>
      </c>
    </row>
    <row r="107" spans="1:11" hidden="1" x14ac:dyDescent="0.25">
      <c r="A107" s="58">
        <v>45413</v>
      </c>
      <c r="B107" s="59"/>
      <c r="C107" s="59" t="s">
        <v>14</v>
      </c>
      <c r="D107" s="60" t="s">
        <v>140</v>
      </c>
      <c r="E107" s="61">
        <v>2</v>
      </c>
      <c r="F107" s="61">
        <v>2</v>
      </c>
      <c r="G107" s="58">
        <v>45456</v>
      </c>
      <c r="H107" s="62">
        <v>0</v>
      </c>
      <c r="I107" s="60" t="s">
        <v>141</v>
      </c>
      <c r="J107" s="42">
        <v>5</v>
      </c>
      <c r="K107" s="41">
        <v>2024</v>
      </c>
    </row>
    <row r="108" spans="1:11" hidden="1" x14ac:dyDescent="0.25">
      <c r="A108" s="58">
        <v>45413</v>
      </c>
      <c r="B108" s="59"/>
      <c r="C108" s="59" t="s">
        <v>46</v>
      </c>
      <c r="D108" s="60" t="s">
        <v>47</v>
      </c>
      <c r="E108" s="61">
        <v>3</v>
      </c>
      <c r="F108" s="61">
        <v>3</v>
      </c>
      <c r="G108" s="58">
        <v>45436</v>
      </c>
      <c r="H108" s="62">
        <v>0</v>
      </c>
      <c r="I108" s="60" t="s">
        <v>152</v>
      </c>
      <c r="J108" s="42">
        <v>5</v>
      </c>
      <c r="K108" s="41">
        <v>2024</v>
      </c>
    </row>
    <row r="109" spans="1:11" hidden="1" x14ac:dyDescent="0.25">
      <c r="A109" s="58">
        <v>45413</v>
      </c>
      <c r="B109" s="59"/>
      <c r="C109" s="59" t="s">
        <v>21</v>
      </c>
      <c r="D109" s="60" t="s">
        <v>22</v>
      </c>
      <c r="E109" s="61">
        <v>2</v>
      </c>
      <c r="F109" s="61"/>
      <c r="G109" s="58"/>
      <c r="H109" s="62">
        <v>2</v>
      </c>
      <c r="I109" s="60" t="s">
        <v>146</v>
      </c>
      <c r="J109" s="42">
        <v>5</v>
      </c>
      <c r="K109" s="41">
        <v>2024</v>
      </c>
    </row>
    <row r="110" spans="1:11" hidden="1" x14ac:dyDescent="0.25">
      <c r="A110" s="58">
        <v>45413</v>
      </c>
      <c r="B110" s="59"/>
      <c r="C110" s="59" t="s">
        <v>161</v>
      </c>
      <c r="D110" s="60" t="s">
        <v>162</v>
      </c>
      <c r="E110" s="61">
        <v>3</v>
      </c>
      <c r="F110" s="61"/>
      <c r="G110" s="58"/>
      <c r="H110" s="62">
        <v>3</v>
      </c>
      <c r="I110" s="60" t="s">
        <v>146</v>
      </c>
      <c r="J110" s="42">
        <v>5</v>
      </c>
      <c r="K110" s="41">
        <v>2024</v>
      </c>
    </row>
    <row r="111" spans="1:11" hidden="1" x14ac:dyDescent="0.25">
      <c r="A111" s="58">
        <v>45413</v>
      </c>
      <c r="B111" s="59"/>
      <c r="C111" s="59" t="s">
        <v>81</v>
      </c>
      <c r="D111" s="60" t="s">
        <v>82</v>
      </c>
      <c r="E111" s="61">
        <v>5</v>
      </c>
      <c r="F111" s="61">
        <v>5</v>
      </c>
      <c r="G111" s="58">
        <v>45456</v>
      </c>
      <c r="H111" s="62">
        <v>0</v>
      </c>
      <c r="I111" s="60" t="s">
        <v>163</v>
      </c>
      <c r="J111" s="42">
        <v>5</v>
      </c>
      <c r="K111" s="41">
        <v>2024</v>
      </c>
    </row>
    <row r="112" spans="1:11" hidden="1" x14ac:dyDescent="0.25">
      <c r="A112" s="58">
        <v>45413</v>
      </c>
      <c r="B112" s="59"/>
      <c r="C112" s="59" t="s">
        <v>574</v>
      </c>
      <c r="D112" s="60" t="s">
        <v>52</v>
      </c>
      <c r="E112" s="61">
        <v>7</v>
      </c>
      <c r="F112" s="61">
        <v>7</v>
      </c>
      <c r="G112" s="58">
        <v>45436</v>
      </c>
      <c r="H112" s="62">
        <v>0</v>
      </c>
      <c r="I112" s="60" t="s">
        <v>164</v>
      </c>
      <c r="J112" s="42">
        <v>5</v>
      </c>
      <c r="K112" s="41">
        <v>2024</v>
      </c>
    </row>
    <row r="113" spans="1:11" x14ac:dyDescent="0.25">
      <c r="A113" s="58">
        <v>45413</v>
      </c>
      <c r="B113" s="59"/>
      <c r="C113" s="59" t="s">
        <v>43</v>
      </c>
      <c r="D113" s="60" t="s">
        <v>44</v>
      </c>
      <c r="E113" s="61">
        <v>4</v>
      </c>
      <c r="F113" s="61"/>
      <c r="G113" s="58"/>
      <c r="H113" s="62">
        <v>4</v>
      </c>
      <c r="I113" s="60" t="s">
        <v>165</v>
      </c>
      <c r="J113" s="42">
        <v>5</v>
      </c>
      <c r="K113" s="41">
        <v>2024</v>
      </c>
    </row>
    <row r="114" spans="1:11" hidden="1" x14ac:dyDescent="0.25">
      <c r="A114" s="58">
        <v>45413</v>
      </c>
      <c r="B114" s="59"/>
      <c r="C114" s="59" t="s">
        <v>166</v>
      </c>
      <c r="D114" s="60" t="s">
        <v>167</v>
      </c>
      <c r="E114" s="61">
        <v>2</v>
      </c>
      <c r="F114" s="61">
        <v>1</v>
      </c>
      <c r="G114" s="58">
        <v>45436</v>
      </c>
      <c r="H114" s="62">
        <v>1</v>
      </c>
      <c r="I114" s="60" t="s">
        <v>168</v>
      </c>
      <c r="J114" s="42">
        <v>5</v>
      </c>
      <c r="K114" s="41">
        <v>2024</v>
      </c>
    </row>
    <row r="115" spans="1:11" hidden="1" x14ac:dyDescent="0.25">
      <c r="A115" s="58">
        <v>45444</v>
      </c>
      <c r="B115" s="59"/>
      <c r="C115" s="59" t="s">
        <v>27</v>
      </c>
      <c r="D115" s="60" t="s">
        <v>132</v>
      </c>
      <c r="E115" s="61">
        <v>4</v>
      </c>
      <c r="F115" s="61">
        <v>4</v>
      </c>
      <c r="G115" s="58">
        <v>45471</v>
      </c>
      <c r="H115" s="62">
        <v>0</v>
      </c>
      <c r="I115" s="60" t="s">
        <v>160</v>
      </c>
      <c r="J115" s="42">
        <v>6</v>
      </c>
      <c r="K115" s="41">
        <v>2024</v>
      </c>
    </row>
    <row r="116" spans="1:11" hidden="1" x14ac:dyDescent="0.25">
      <c r="A116" s="58">
        <v>45444</v>
      </c>
      <c r="B116" s="59"/>
      <c r="C116" s="59" t="s">
        <v>29</v>
      </c>
      <c r="D116" s="60" t="s">
        <v>30</v>
      </c>
      <c r="E116" s="61">
        <v>3</v>
      </c>
      <c r="F116" s="61"/>
      <c r="G116" s="58"/>
      <c r="H116" s="62">
        <v>3</v>
      </c>
      <c r="I116" s="60" t="s">
        <v>148</v>
      </c>
      <c r="J116" s="42">
        <v>6</v>
      </c>
      <c r="K116" s="41">
        <v>2024</v>
      </c>
    </row>
    <row r="117" spans="1:11" hidden="1" x14ac:dyDescent="0.25">
      <c r="A117" s="58">
        <v>45444</v>
      </c>
      <c r="B117" s="59"/>
      <c r="C117" s="59" t="s">
        <v>231</v>
      </c>
      <c r="D117" s="60" t="s">
        <v>36</v>
      </c>
      <c r="E117" s="61">
        <v>6</v>
      </c>
      <c r="F117" s="61">
        <v>6</v>
      </c>
      <c r="G117" s="58">
        <v>45456</v>
      </c>
      <c r="H117" s="62">
        <v>0</v>
      </c>
      <c r="I117" s="60" t="s">
        <v>169</v>
      </c>
      <c r="J117" s="42">
        <v>6</v>
      </c>
      <c r="K117" s="41">
        <v>2024</v>
      </c>
    </row>
    <row r="118" spans="1:11" hidden="1" x14ac:dyDescent="0.25">
      <c r="A118" s="58">
        <v>45444</v>
      </c>
      <c r="B118" s="59"/>
      <c r="C118" s="59" t="s">
        <v>46</v>
      </c>
      <c r="D118" s="60" t="s">
        <v>47</v>
      </c>
      <c r="E118" s="61">
        <v>3</v>
      </c>
      <c r="F118" s="61"/>
      <c r="G118" s="58"/>
      <c r="H118" s="62">
        <v>3</v>
      </c>
      <c r="I118" s="60" t="s">
        <v>170</v>
      </c>
      <c r="J118" s="42">
        <v>6</v>
      </c>
      <c r="K118" s="41">
        <v>2024</v>
      </c>
    </row>
    <row r="119" spans="1:11" x14ac:dyDescent="0.25">
      <c r="A119" s="58">
        <v>45444</v>
      </c>
      <c r="B119" s="59"/>
      <c r="C119" s="59" t="s">
        <v>43</v>
      </c>
      <c r="D119" s="60" t="s">
        <v>44</v>
      </c>
      <c r="E119" s="61">
        <v>5</v>
      </c>
      <c r="F119" s="61">
        <v>1</v>
      </c>
      <c r="G119" s="58">
        <v>45471</v>
      </c>
      <c r="H119" s="62">
        <v>4</v>
      </c>
      <c r="I119" s="60" t="s">
        <v>171</v>
      </c>
      <c r="J119" s="42">
        <v>6</v>
      </c>
      <c r="K119" s="41">
        <v>2024</v>
      </c>
    </row>
    <row r="120" spans="1:11" x14ac:dyDescent="0.25">
      <c r="A120" s="58">
        <v>45444</v>
      </c>
      <c r="B120" s="59"/>
      <c r="C120" s="59" t="s">
        <v>156</v>
      </c>
      <c r="D120" s="60" t="s">
        <v>157</v>
      </c>
      <c r="E120" s="61">
        <v>1</v>
      </c>
      <c r="F120" s="61">
        <v>1</v>
      </c>
      <c r="G120" s="58">
        <v>45456</v>
      </c>
      <c r="H120" s="62">
        <v>0</v>
      </c>
      <c r="I120" s="60" t="s">
        <v>172</v>
      </c>
      <c r="J120" s="42">
        <v>6</v>
      </c>
      <c r="K120" s="41">
        <v>2024</v>
      </c>
    </row>
    <row r="121" spans="1:11" hidden="1" x14ac:dyDescent="0.25">
      <c r="A121" s="58">
        <v>45444</v>
      </c>
      <c r="B121" s="59"/>
      <c r="C121" s="59" t="s">
        <v>81</v>
      </c>
      <c r="D121" s="60" t="s">
        <v>82</v>
      </c>
      <c r="E121" s="61">
        <v>4</v>
      </c>
      <c r="F121" s="61">
        <v>4</v>
      </c>
      <c r="G121" s="58">
        <v>45456</v>
      </c>
      <c r="H121" s="62">
        <v>0</v>
      </c>
      <c r="I121" s="60" t="s">
        <v>173</v>
      </c>
      <c r="J121" s="42">
        <v>6</v>
      </c>
      <c r="K121" s="41">
        <v>2024</v>
      </c>
    </row>
    <row r="122" spans="1:11" hidden="1" x14ac:dyDescent="0.25">
      <c r="A122" s="58">
        <v>45444</v>
      </c>
      <c r="B122" s="59"/>
      <c r="C122" s="59" t="s">
        <v>24</v>
      </c>
      <c r="D122" s="60" t="s">
        <v>25</v>
      </c>
      <c r="E122" s="61">
        <v>1</v>
      </c>
      <c r="F122" s="61">
        <v>1</v>
      </c>
      <c r="G122" s="58">
        <v>45471</v>
      </c>
      <c r="H122" s="62">
        <v>0</v>
      </c>
      <c r="I122" s="60" t="s">
        <v>174</v>
      </c>
      <c r="J122" s="42">
        <v>6</v>
      </c>
      <c r="K122" s="41">
        <v>2024</v>
      </c>
    </row>
    <row r="123" spans="1:11" hidden="1" x14ac:dyDescent="0.25">
      <c r="A123" s="58">
        <v>45444</v>
      </c>
      <c r="B123" s="59"/>
      <c r="C123" s="59" t="s">
        <v>144</v>
      </c>
      <c r="D123" s="60" t="s">
        <v>145</v>
      </c>
      <c r="E123" s="61">
        <v>2</v>
      </c>
      <c r="F123" s="61">
        <v>2</v>
      </c>
      <c r="G123" s="58">
        <v>45547</v>
      </c>
      <c r="H123" s="62">
        <v>0</v>
      </c>
      <c r="I123" s="60" t="s">
        <v>175</v>
      </c>
      <c r="J123" s="42">
        <v>6</v>
      </c>
      <c r="K123" s="41">
        <v>2024</v>
      </c>
    </row>
    <row r="124" spans="1:11" hidden="1" x14ac:dyDescent="0.25">
      <c r="A124" s="58">
        <v>45444</v>
      </c>
      <c r="B124" s="59"/>
      <c r="C124" s="59" t="s">
        <v>232</v>
      </c>
      <c r="D124" s="60" t="s">
        <v>15</v>
      </c>
      <c r="E124" s="61">
        <v>2</v>
      </c>
      <c r="F124" s="61">
        <v>2</v>
      </c>
      <c r="G124" s="58">
        <v>45471</v>
      </c>
      <c r="H124" s="62">
        <v>0</v>
      </c>
      <c r="I124" s="60" t="s">
        <v>175</v>
      </c>
      <c r="J124" s="42">
        <v>6</v>
      </c>
      <c r="K124" s="41">
        <v>2024</v>
      </c>
    </row>
    <row r="125" spans="1:11" hidden="1" x14ac:dyDescent="0.25">
      <c r="A125" s="58">
        <v>45444</v>
      </c>
      <c r="B125" s="59"/>
      <c r="C125" s="59" t="s">
        <v>71</v>
      </c>
      <c r="D125" s="60" t="s">
        <v>32</v>
      </c>
      <c r="E125" s="61">
        <v>1</v>
      </c>
      <c r="F125" s="61"/>
      <c r="G125" s="58"/>
      <c r="H125" s="62">
        <v>1</v>
      </c>
      <c r="I125" s="60" t="s">
        <v>176</v>
      </c>
      <c r="J125" s="42">
        <v>6</v>
      </c>
      <c r="K125" s="41">
        <v>2024</v>
      </c>
    </row>
    <row r="126" spans="1:11" hidden="1" x14ac:dyDescent="0.25">
      <c r="A126" s="58">
        <v>45444</v>
      </c>
      <c r="B126" s="59"/>
      <c r="C126" s="59" t="s">
        <v>1514</v>
      </c>
      <c r="D126" s="60" t="s">
        <v>32</v>
      </c>
      <c r="E126" s="61">
        <v>1</v>
      </c>
      <c r="F126" s="61"/>
      <c r="G126" s="58"/>
      <c r="H126" s="62">
        <v>1</v>
      </c>
      <c r="I126" s="60" t="s">
        <v>176</v>
      </c>
      <c r="J126" s="42">
        <v>6</v>
      </c>
      <c r="K126" s="41">
        <v>2024</v>
      </c>
    </row>
    <row r="127" spans="1:11" hidden="1" x14ac:dyDescent="0.25">
      <c r="A127" s="58">
        <v>45474</v>
      </c>
      <c r="B127" s="59"/>
      <c r="C127" s="59" t="s">
        <v>29</v>
      </c>
      <c r="D127" s="60" t="s">
        <v>30</v>
      </c>
      <c r="E127" s="61">
        <v>6</v>
      </c>
      <c r="F127" s="61">
        <v>6</v>
      </c>
      <c r="G127" s="58">
        <v>45502</v>
      </c>
      <c r="H127" s="62">
        <v>0</v>
      </c>
      <c r="I127" s="60" t="s">
        <v>177</v>
      </c>
      <c r="J127" s="42">
        <v>7</v>
      </c>
      <c r="K127" s="41">
        <v>2024</v>
      </c>
    </row>
    <row r="128" spans="1:11" hidden="1" x14ac:dyDescent="0.25">
      <c r="A128" s="58">
        <v>45474</v>
      </c>
      <c r="B128" s="59"/>
      <c r="C128" s="59" t="s">
        <v>46</v>
      </c>
      <c r="D128" s="60" t="s">
        <v>47</v>
      </c>
      <c r="E128" s="61">
        <v>3</v>
      </c>
      <c r="F128" s="61">
        <v>3</v>
      </c>
      <c r="G128" s="58">
        <v>45502</v>
      </c>
      <c r="H128" s="62">
        <v>0</v>
      </c>
      <c r="I128" s="60" t="s">
        <v>170</v>
      </c>
      <c r="J128" s="42">
        <v>7</v>
      </c>
      <c r="K128" s="41">
        <v>2024</v>
      </c>
    </row>
    <row r="129" spans="1:11" x14ac:dyDescent="0.25">
      <c r="A129" s="58">
        <v>45474</v>
      </c>
      <c r="B129" s="59"/>
      <c r="C129" s="59" t="s">
        <v>33</v>
      </c>
      <c r="D129" s="60" t="s">
        <v>154</v>
      </c>
      <c r="E129" s="61">
        <v>3</v>
      </c>
      <c r="F129" s="61"/>
      <c r="G129" s="58"/>
      <c r="H129" s="62">
        <v>3</v>
      </c>
      <c r="I129" s="60" t="s">
        <v>170</v>
      </c>
      <c r="J129" s="42">
        <v>7</v>
      </c>
      <c r="K129" s="41">
        <v>2024</v>
      </c>
    </row>
    <row r="130" spans="1:11" hidden="1" x14ac:dyDescent="0.25">
      <c r="A130" s="58">
        <v>45474</v>
      </c>
      <c r="B130" s="59"/>
      <c r="C130" s="59" t="s">
        <v>121</v>
      </c>
      <c r="D130" s="60" t="s">
        <v>122</v>
      </c>
      <c r="E130" s="61">
        <v>4</v>
      </c>
      <c r="F130" s="61">
        <v>4</v>
      </c>
      <c r="G130" s="58">
        <v>45502</v>
      </c>
      <c r="H130" s="62">
        <v>0</v>
      </c>
      <c r="I130" s="60" t="s">
        <v>178</v>
      </c>
      <c r="J130" s="42">
        <v>7</v>
      </c>
      <c r="K130" s="41">
        <v>2024</v>
      </c>
    </row>
    <row r="131" spans="1:11" hidden="1" x14ac:dyDescent="0.25">
      <c r="A131" s="58">
        <v>45474</v>
      </c>
      <c r="B131" s="59"/>
      <c r="C131" s="59" t="s">
        <v>179</v>
      </c>
      <c r="D131" s="60" t="s">
        <v>180</v>
      </c>
      <c r="E131" s="61">
        <v>1</v>
      </c>
      <c r="F131" s="61"/>
      <c r="G131" s="58"/>
      <c r="H131" s="62">
        <v>1</v>
      </c>
      <c r="I131" s="60" t="s">
        <v>181</v>
      </c>
      <c r="J131" s="42">
        <v>7</v>
      </c>
      <c r="K131" s="41">
        <v>2024</v>
      </c>
    </row>
    <row r="132" spans="1:11" hidden="1" x14ac:dyDescent="0.25">
      <c r="A132" s="58">
        <v>45505</v>
      </c>
      <c r="B132" s="59"/>
      <c r="C132" s="59" t="s">
        <v>60</v>
      </c>
      <c r="D132" s="60" t="s">
        <v>182</v>
      </c>
      <c r="E132" s="61">
        <v>3</v>
      </c>
      <c r="F132" s="61"/>
      <c r="G132" s="58"/>
      <c r="H132" s="62">
        <v>3</v>
      </c>
      <c r="I132" s="60" t="s">
        <v>177</v>
      </c>
      <c r="J132" s="42">
        <v>8</v>
      </c>
      <c r="K132" s="41">
        <v>2024</v>
      </c>
    </row>
    <row r="133" spans="1:11" hidden="1" x14ac:dyDescent="0.25">
      <c r="A133" s="58">
        <v>45505</v>
      </c>
      <c r="B133" s="59"/>
      <c r="C133" s="59" t="s">
        <v>126</v>
      </c>
      <c r="D133" s="60" t="s">
        <v>127</v>
      </c>
      <c r="E133" s="61">
        <v>3</v>
      </c>
      <c r="F133" s="61">
        <v>2</v>
      </c>
      <c r="G133" s="58">
        <v>45532</v>
      </c>
      <c r="H133" s="62">
        <v>1</v>
      </c>
      <c r="I133" s="60" t="s">
        <v>170</v>
      </c>
      <c r="J133" s="42">
        <v>8</v>
      </c>
      <c r="K133" s="41">
        <v>2024</v>
      </c>
    </row>
    <row r="134" spans="1:11" hidden="1" x14ac:dyDescent="0.25">
      <c r="A134" s="58">
        <v>45505</v>
      </c>
      <c r="B134" s="59"/>
      <c r="C134" s="59" t="s">
        <v>68</v>
      </c>
      <c r="D134" s="60" t="s">
        <v>183</v>
      </c>
      <c r="E134" s="61">
        <v>3</v>
      </c>
      <c r="F134" s="61">
        <v>3</v>
      </c>
      <c r="G134" s="58">
        <v>45574</v>
      </c>
      <c r="H134" s="62">
        <v>0</v>
      </c>
      <c r="I134" s="60" t="s">
        <v>170</v>
      </c>
      <c r="J134" s="42">
        <v>8</v>
      </c>
      <c r="K134" s="41">
        <v>2024</v>
      </c>
    </row>
    <row r="135" spans="1:11" hidden="1" x14ac:dyDescent="0.25">
      <c r="A135" s="58">
        <v>45505</v>
      </c>
      <c r="B135" s="59"/>
      <c r="C135" s="59" t="s">
        <v>231</v>
      </c>
      <c r="D135" s="60" t="s">
        <v>36</v>
      </c>
      <c r="E135" s="61">
        <v>5</v>
      </c>
      <c r="F135" s="61">
        <v>5</v>
      </c>
      <c r="G135" s="58">
        <v>45574</v>
      </c>
      <c r="H135" s="62">
        <v>0</v>
      </c>
      <c r="I135" s="60" t="s">
        <v>184</v>
      </c>
      <c r="J135" s="42">
        <v>8</v>
      </c>
      <c r="K135" s="41">
        <v>2024</v>
      </c>
    </row>
    <row r="136" spans="1:11" hidden="1" x14ac:dyDescent="0.25">
      <c r="A136" s="58">
        <v>45505</v>
      </c>
      <c r="B136" s="59"/>
      <c r="C136" s="59" t="s">
        <v>185</v>
      </c>
      <c r="D136" s="60" t="s">
        <v>186</v>
      </c>
      <c r="E136" s="61">
        <v>2</v>
      </c>
      <c r="F136" s="61"/>
      <c r="G136" s="58"/>
      <c r="H136" s="62">
        <v>2</v>
      </c>
      <c r="I136" s="60" t="s">
        <v>187</v>
      </c>
      <c r="J136" s="42">
        <v>8</v>
      </c>
      <c r="K136" s="41">
        <v>2024</v>
      </c>
    </row>
    <row r="137" spans="1:11" hidden="1" x14ac:dyDescent="0.25">
      <c r="A137" s="58">
        <v>45505</v>
      </c>
      <c r="B137" s="59"/>
      <c r="C137" s="59" t="s">
        <v>144</v>
      </c>
      <c r="D137" s="60" t="s">
        <v>145</v>
      </c>
      <c r="E137" s="61">
        <v>1</v>
      </c>
      <c r="F137" s="61">
        <v>1</v>
      </c>
      <c r="G137" s="58">
        <v>45547</v>
      </c>
      <c r="H137" s="62">
        <v>0</v>
      </c>
      <c r="I137" s="60" t="s">
        <v>181</v>
      </c>
      <c r="J137" s="42">
        <v>8</v>
      </c>
      <c r="K137" s="41">
        <v>2024</v>
      </c>
    </row>
    <row r="138" spans="1:11" hidden="1" x14ac:dyDescent="0.25">
      <c r="A138" s="58">
        <v>45505</v>
      </c>
      <c r="B138" s="59"/>
      <c r="C138" s="59" t="s">
        <v>46</v>
      </c>
      <c r="D138" s="60" t="s">
        <v>47</v>
      </c>
      <c r="E138" s="61">
        <v>3</v>
      </c>
      <c r="F138" s="61">
        <v>3</v>
      </c>
      <c r="G138" s="58">
        <v>45560</v>
      </c>
      <c r="H138" s="62">
        <v>0</v>
      </c>
      <c r="I138" s="60" t="s">
        <v>188</v>
      </c>
      <c r="J138" s="42">
        <v>8</v>
      </c>
      <c r="K138" s="41">
        <v>2024</v>
      </c>
    </row>
    <row r="139" spans="1:11" hidden="1" x14ac:dyDescent="0.25">
      <c r="A139" s="58">
        <v>45505</v>
      </c>
      <c r="B139" s="59"/>
      <c r="C139" s="59" t="s">
        <v>144</v>
      </c>
      <c r="D139" s="60" t="s">
        <v>189</v>
      </c>
      <c r="E139" s="61">
        <v>4</v>
      </c>
      <c r="F139" s="61">
        <v>4</v>
      </c>
      <c r="G139" s="58">
        <v>45563</v>
      </c>
      <c r="H139" s="62">
        <v>0</v>
      </c>
      <c r="I139" s="60" t="s">
        <v>190</v>
      </c>
      <c r="J139" s="42">
        <v>8</v>
      </c>
      <c r="K139" s="41">
        <v>2024</v>
      </c>
    </row>
    <row r="140" spans="1:11" hidden="1" x14ac:dyDescent="0.25">
      <c r="A140" s="58">
        <v>45505</v>
      </c>
      <c r="B140" s="59"/>
      <c r="C140" s="59" t="s">
        <v>14</v>
      </c>
      <c r="D140" s="60" t="s">
        <v>191</v>
      </c>
      <c r="E140" s="61">
        <v>2</v>
      </c>
      <c r="F140" s="61">
        <v>2</v>
      </c>
      <c r="G140" s="58">
        <v>45532</v>
      </c>
      <c r="H140" s="62">
        <v>0</v>
      </c>
      <c r="I140" s="60" t="s">
        <v>175</v>
      </c>
      <c r="J140" s="42">
        <v>8</v>
      </c>
      <c r="K140" s="41">
        <v>2024</v>
      </c>
    </row>
    <row r="141" spans="1:11" hidden="1" x14ac:dyDescent="0.25">
      <c r="A141" s="58">
        <v>45505</v>
      </c>
      <c r="B141" s="59"/>
      <c r="C141" s="59" t="s">
        <v>192</v>
      </c>
      <c r="D141" s="60" t="s">
        <v>193</v>
      </c>
      <c r="E141" s="61">
        <v>2</v>
      </c>
      <c r="F141" s="61">
        <v>3</v>
      </c>
      <c r="G141" s="58">
        <v>45560</v>
      </c>
      <c r="H141" s="62">
        <v>-1</v>
      </c>
      <c r="I141" s="60" t="s">
        <v>194</v>
      </c>
      <c r="J141" s="42">
        <v>8</v>
      </c>
      <c r="K141" s="41">
        <v>2024</v>
      </c>
    </row>
    <row r="142" spans="1:11" hidden="1" x14ac:dyDescent="0.25">
      <c r="A142" s="58">
        <v>45505</v>
      </c>
      <c r="B142" s="59"/>
      <c r="C142" s="59" t="s">
        <v>166</v>
      </c>
      <c r="D142" s="60" t="s">
        <v>167</v>
      </c>
      <c r="E142" s="61">
        <v>4</v>
      </c>
      <c r="F142" s="61">
        <v>3</v>
      </c>
      <c r="G142" s="58">
        <v>45560</v>
      </c>
      <c r="H142" s="62">
        <v>1</v>
      </c>
      <c r="I142" s="60" t="s">
        <v>195</v>
      </c>
      <c r="J142" s="42">
        <v>8</v>
      </c>
      <c r="K142" s="41">
        <v>2024</v>
      </c>
    </row>
    <row r="143" spans="1:11" hidden="1" x14ac:dyDescent="0.25">
      <c r="A143" s="58">
        <v>45536</v>
      </c>
      <c r="B143" s="59"/>
      <c r="C143" s="59" t="s">
        <v>71</v>
      </c>
      <c r="D143" s="60" t="s">
        <v>32</v>
      </c>
      <c r="E143" s="61">
        <v>3</v>
      </c>
      <c r="F143" s="61">
        <v>3</v>
      </c>
      <c r="G143" s="58">
        <v>45625</v>
      </c>
      <c r="H143" s="62">
        <v>0</v>
      </c>
      <c r="I143" s="60" t="s">
        <v>196</v>
      </c>
      <c r="J143" s="42">
        <v>9</v>
      </c>
      <c r="K143" s="41">
        <v>2024</v>
      </c>
    </row>
    <row r="144" spans="1:11" hidden="1" x14ac:dyDescent="0.25">
      <c r="A144" s="58">
        <v>45536</v>
      </c>
      <c r="B144" s="59"/>
      <c r="C144" s="59" t="s">
        <v>232</v>
      </c>
      <c r="D144" s="60" t="s">
        <v>15</v>
      </c>
      <c r="E144" s="61">
        <v>1</v>
      </c>
      <c r="F144" s="61">
        <v>1</v>
      </c>
      <c r="G144" s="58">
        <v>45580</v>
      </c>
      <c r="H144" s="62">
        <v>0</v>
      </c>
      <c r="I144" s="60" t="s">
        <v>181</v>
      </c>
      <c r="J144" s="42">
        <v>9</v>
      </c>
      <c r="K144" s="41">
        <v>2024</v>
      </c>
    </row>
    <row r="145" spans="1:12" hidden="1" x14ac:dyDescent="0.25">
      <c r="A145" s="58">
        <v>45536</v>
      </c>
      <c r="B145" s="59"/>
      <c r="C145" s="59" t="s">
        <v>231</v>
      </c>
      <c r="D145" s="60" t="s">
        <v>36</v>
      </c>
      <c r="E145" s="61">
        <v>10</v>
      </c>
      <c r="F145" s="61">
        <v>5</v>
      </c>
      <c r="G145" s="58">
        <v>45560</v>
      </c>
      <c r="H145" s="62">
        <v>5</v>
      </c>
      <c r="I145" s="60" t="s">
        <v>197</v>
      </c>
      <c r="J145" s="42">
        <v>9</v>
      </c>
      <c r="K145" s="41">
        <v>2024</v>
      </c>
    </row>
    <row r="146" spans="1:12" hidden="1" x14ac:dyDescent="0.25">
      <c r="A146" s="58">
        <v>45536</v>
      </c>
      <c r="B146" s="59"/>
      <c r="C146" s="59" t="s">
        <v>46</v>
      </c>
      <c r="D146" s="60" t="s">
        <v>47</v>
      </c>
      <c r="E146" s="61">
        <v>8</v>
      </c>
      <c r="F146" s="61"/>
      <c r="G146" s="58"/>
      <c r="H146" s="62">
        <v>8</v>
      </c>
      <c r="I146" s="60" t="s">
        <v>198</v>
      </c>
      <c r="J146" s="42">
        <v>9</v>
      </c>
      <c r="K146" s="41">
        <v>2024</v>
      </c>
    </row>
    <row r="147" spans="1:12" hidden="1" x14ac:dyDescent="0.25">
      <c r="A147" s="58">
        <v>45536</v>
      </c>
      <c r="B147" s="59"/>
      <c r="C147" s="59" t="s">
        <v>14</v>
      </c>
      <c r="D147" s="60" t="s">
        <v>199</v>
      </c>
      <c r="E147" s="61">
        <v>2</v>
      </c>
      <c r="F147" s="61">
        <v>3</v>
      </c>
      <c r="G147" s="58">
        <v>45560</v>
      </c>
      <c r="H147" s="62">
        <v>-1</v>
      </c>
      <c r="I147" s="60" t="s">
        <v>187</v>
      </c>
      <c r="J147" s="42">
        <v>9</v>
      </c>
      <c r="K147" s="41">
        <v>2024</v>
      </c>
    </row>
    <row r="148" spans="1:12" hidden="1" x14ac:dyDescent="0.25">
      <c r="A148" s="58">
        <v>45536</v>
      </c>
      <c r="B148" s="59"/>
      <c r="C148" s="59" t="s">
        <v>68</v>
      </c>
      <c r="D148" s="60" t="s">
        <v>69</v>
      </c>
      <c r="E148" s="61">
        <v>4</v>
      </c>
      <c r="F148" s="61">
        <v>3</v>
      </c>
      <c r="G148" s="58">
        <v>45574</v>
      </c>
      <c r="H148" s="62">
        <v>1</v>
      </c>
      <c r="I148" s="60" t="s">
        <v>200</v>
      </c>
      <c r="J148" s="42">
        <v>9</v>
      </c>
      <c r="K148" s="41">
        <v>2024</v>
      </c>
    </row>
    <row r="149" spans="1:12" hidden="1" x14ac:dyDescent="0.25">
      <c r="A149" s="58">
        <v>45536</v>
      </c>
      <c r="B149" s="59"/>
      <c r="C149" s="59" t="s">
        <v>574</v>
      </c>
      <c r="D149" s="60" t="s">
        <v>52</v>
      </c>
      <c r="E149" s="61">
        <v>5</v>
      </c>
      <c r="F149" s="61">
        <v>5</v>
      </c>
      <c r="G149" s="58">
        <v>45574</v>
      </c>
      <c r="H149" s="62">
        <v>0</v>
      </c>
      <c r="I149" s="60" t="s">
        <v>201</v>
      </c>
      <c r="J149" s="42">
        <v>9</v>
      </c>
      <c r="K149" s="41">
        <v>2024</v>
      </c>
    </row>
    <row r="150" spans="1:12" hidden="1" x14ac:dyDescent="0.25">
      <c r="A150" s="58">
        <v>45536</v>
      </c>
      <c r="B150" s="59"/>
      <c r="C150" s="59" t="s">
        <v>29</v>
      </c>
      <c r="D150" s="60" t="s">
        <v>30</v>
      </c>
      <c r="E150" s="61">
        <v>8</v>
      </c>
      <c r="F150" s="61">
        <v>8</v>
      </c>
      <c r="G150" s="58">
        <v>45624</v>
      </c>
      <c r="H150" s="62">
        <v>0</v>
      </c>
      <c r="I150" s="60" t="s">
        <v>198</v>
      </c>
      <c r="J150" s="42">
        <v>9</v>
      </c>
      <c r="K150" s="41">
        <v>2024</v>
      </c>
      <c r="L150" t="s">
        <v>202</v>
      </c>
    </row>
    <row r="151" spans="1:12" x14ac:dyDescent="0.25">
      <c r="A151" s="58">
        <v>45536</v>
      </c>
      <c r="B151" s="59"/>
      <c r="C151" s="59" t="s">
        <v>43</v>
      </c>
      <c r="D151" s="60" t="s">
        <v>44</v>
      </c>
      <c r="E151" s="61">
        <v>3</v>
      </c>
      <c r="F151" s="61">
        <v>3</v>
      </c>
      <c r="G151" s="58">
        <v>45574</v>
      </c>
      <c r="H151" s="62">
        <v>0</v>
      </c>
      <c r="I151" s="60" t="s">
        <v>128</v>
      </c>
      <c r="J151" s="42">
        <v>9</v>
      </c>
      <c r="K151" s="41">
        <v>2024</v>
      </c>
    </row>
    <row r="152" spans="1:12" hidden="1" x14ac:dyDescent="0.25">
      <c r="A152" s="58">
        <v>45536</v>
      </c>
      <c r="B152" s="59"/>
      <c r="C152" s="59" t="s">
        <v>92</v>
      </c>
      <c r="D152" s="60" t="s">
        <v>93</v>
      </c>
      <c r="E152" s="61">
        <v>2</v>
      </c>
      <c r="F152" s="61">
        <v>2</v>
      </c>
      <c r="G152" s="58">
        <v>45574</v>
      </c>
      <c r="H152" s="62">
        <v>0</v>
      </c>
      <c r="I152" s="60" t="s">
        <v>203</v>
      </c>
      <c r="J152" s="42">
        <v>9</v>
      </c>
      <c r="K152" s="41">
        <v>2024</v>
      </c>
    </row>
    <row r="153" spans="1:12" x14ac:dyDescent="0.25">
      <c r="A153" s="58">
        <v>45536</v>
      </c>
      <c r="B153" s="59"/>
      <c r="C153" s="59" t="s">
        <v>14</v>
      </c>
      <c r="D153" s="60" t="s">
        <v>204</v>
      </c>
      <c r="E153" s="61">
        <v>1</v>
      </c>
      <c r="F153" s="61"/>
      <c r="G153" s="58"/>
      <c r="H153" s="62">
        <v>1</v>
      </c>
      <c r="I153" s="60" t="s">
        <v>181</v>
      </c>
      <c r="J153" s="42">
        <v>9</v>
      </c>
      <c r="K153" s="41">
        <v>2024</v>
      </c>
    </row>
    <row r="154" spans="1:12" hidden="1" x14ac:dyDescent="0.25">
      <c r="A154" s="58">
        <v>45536</v>
      </c>
      <c r="B154" s="59"/>
      <c r="C154" s="59" t="s">
        <v>918</v>
      </c>
      <c r="D154" s="60" t="s">
        <v>205</v>
      </c>
      <c r="E154" s="61">
        <v>1</v>
      </c>
      <c r="F154" s="61">
        <v>1</v>
      </c>
      <c r="G154" s="58">
        <v>45574</v>
      </c>
      <c r="H154" s="62">
        <v>0</v>
      </c>
      <c r="I154" s="60" t="s">
        <v>181</v>
      </c>
      <c r="J154" s="42">
        <v>9</v>
      </c>
      <c r="K154" s="41">
        <v>2024</v>
      </c>
    </row>
    <row r="155" spans="1:12" hidden="1" x14ac:dyDescent="0.25">
      <c r="A155" s="58">
        <v>45536</v>
      </c>
      <c r="B155" s="59"/>
      <c r="C155" s="59" t="s">
        <v>14</v>
      </c>
      <c r="D155" s="60" t="s">
        <v>206</v>
      </c>
      <c r="E155" s="61">
        <v>1</v>
      </c>
      <c r="F155" s="61">
        <v>1</v>
      </c>
      <c r="G155" s="58">
        <v>45618</v>
      </c>
      <c r="H155" s="62">
        <v>0</v>
      </c>
      <c r="I155" s="60" t="s">
        <v>181</v>
      </c>
      <c r="J155" s="42">
        <v>9</v>
      </c>
      <c r="K155" s="41">
        <v>2024</v>
      </c>
    </row>
    <row r="156" spans="1:12" hidden="1" x14ac:dyDescent="0.25">
      <c r="A156" s="58">
        <v>45566</v>
      </c>
      <c r="B156" s="59"/>
      <c r="C156" s="59" t="s">
        <v>71</v>
      </c>
      <c r="D156" s="60" t="s">
        <v>32</v>
      </c>
      <c r="E156" s="61">
        <v>2</v>
      </c>
      <c r="F156" s="61">
        <v>1</v>
      </c>
      <c r="G156" s="58">
        <v>45625</v>
      </c>
      <c r="H156" s="62">
        <v>1</v>
      </c>
      <c r="I156" s="60" t="s">
        <v>207</v>
      </c>
      <c r="J156" s="42">
        <v>10</v>
      </c>
      <c r="K156" s="41">
        <v>2024</v>
      </c>
    </row>
    <row r="157" spans="1:12" hidden="1" x14ac:dyDescent="0.25">
      <c r="A157" s="58">
        <v>45566</v>
      </c>
      <c r="B157" s="59"/>
      <c r="C157" s="59" t="s">
        <v>14</v>
      </c>
      <c r="D157" s="60" t="s">
        <v>129</v>
      </c>
      <c r="E157" s="61">
        <v>2</v>
      </c>
      <c r="F157" s="61"/>
      <c r="G157" s="58"/>
      <c r="H157" s="62">
        <v>2</v>
      </c>
      <c r="I157" s="60" t="s">
        <v>207</v>
      </c>
      <c r="J157" s="42">
        <v>10</v>
      </c>
      <c r="K157" s="41">
        <v>2024</v>
      </c>
    </row>
    <row r="158" spans="1:12" hidden="1" x14ac:dyDescent="0.25">
      <c r="A158" s="58">
        <v>45566</v>
      </c>
      <c r="B158" s="59"/>
      <c r="C158" s="59" t="s">
        <v>14</v>
      </c>
      <c r="D158" s="60" t="s">
        <v>208</v>
      </c>
      <c r="E158" s="61">
        <v>2</v>
      </c>
      <c r="F158" s="61"/>
      <c r="G158" s="58"/>
      <c r="H158" s="62">
        <v>2</v>
      </c>
      <c r="I158" s="60" t="s">
        <v>207</v>
      </c>
      <c r="J158" s="42">
        <v>10</v>
      </c>
      <c r="K158" s="41">
        <v>2024</v>
      </c>
    </row>
    <row r="159" spans="1:12" hidden="1" x14ac:dyDescent="0.25">
      <c r="A159" s="58">
        <v>45566</v>
      </c>
      <c r="B159" s="59"/>
      <c r="C159" s="59" t="s">
        <v>53</v>
      </c>
      <c r="D159" s="60" t="s">
        <v>54</v>
      </c>
      <c r="E159" s="61">
        <v>5</v>
      </c>
      <c r="F159" s="61">
        <v>5</v>
      </c>
      <c r="G159" s="58">
        <v>45618</v>
      </c>
      <c r="H159" s="62">
        <v>0</v>
      </c>
      <c r="I159" s="60" t="s">
        <v>209</v>
      </c>
      <c r="J159" s="42">
        <v>10</v>
      </c>
      <c r="K159" s="41">
        <v>2024</v>
      </c>
    </row>
    <row r="160" spans="1:12" hidden="1" x14ac:dyDescent="0.25">
      <c r="A160" s="58">
        <v>45566</v>
      </c>
      <c r="B160" s="59"/>
      <c r="C160" s="59" t="s">
        <v>232</v>
      </c>
      <c r="D160" s="60" t="s">
        <v>15</v>
      </c>
      <c r="E160" s="61">
        <v>1</v>
      </c>
      <c r="F160" s="61">
        <v>1</v>
      </c>
      <c r="G160" s="58">
        <v>45632</v>
      </c>
      <c r="H160" s="62">
        <v>0</v>
      </c>
      <c r="I160" s="60" t="s">
        <v>181</v>
      </c>
      <c r="J160" s="42">
        <v>10</v>
      </c>
      <c r="K160" s="41">
        <v>2024</v>
      </c>
    </row>
    <row r="161" spans="1:11" hidden="1" x14ac:dyDescent="0.25">
      <c r="A161" s="58">
        <v>45566</v>
      </c>
      <c r="B161" s="59"/>
      <c r="C161" s="59" t="s">
        <v>231</v>
      </c>
      <c r="D161" s="60" t="s">
        <v>36</v>
      </c>
      <c r="E161" s="61">
        <v>8</v>
      </c>
      <c r="F161" s="61">
        <v>5</v>
      </c>
      <c r="G161" s="58">
        <v>45681</v>
      </c>
      <c r="H161" s="62">
        <v>3</v>
      </c>
      <c r="I161" s="60" t="s">
        <v>210</v>
      </c>
      <c r="J161" s="42">
        <v>10</v>
      </c>
      <c r="K161" s="41">
        <v>2024</v>
      </c>
    </row>
    <row r="162" spans="1:11" hidden="1" x14ac:dyDescent="0.25">
      <c r="A162" s="58">
        <v>45566</v>
      </c>
      <c r="B162" s="59"/>
      <c r="C162" s="59" t="s">
        <v>29</v>
      </c>
      <c r="D162" s="60" t="s">
        <v>30</v>
      </c>
      <c r="E162" s="61">
        <v>4</v>
      </c>
      <c r="F162" s="61">
        <v>2</v>
      </c>
      <c r="G162" s="58">
        <v>45624</v>
      </c>
      <c r="H162" s="62">
        <v>2</v>
      </c>
      <c r="I162" s="60" t="s">
        <v>211</v>
      </c>
      <c r="J162" s="42">
        <v>10</v>
      </c>
      <c r="K162" s="41">
        <v>2024</v>
      </c>
    </row>
    <row r="163" spans="1:11" x14ac:dyDescent="0.25">
      <c r="A163" s="58">
        <v>45566</v>
      </c>
      <c r="B163" s="59"/>
      <c r="C163" s="59" t="s">
        <v>43</v>
      </c>
      <c r="D163" s="60" t="s">
        <v>44</v>
      </c>
      <c r="E163" s="61">
        <v>3</v>
      </c>
      <c r="F163" s="61"/>
      <c r="G163" s="58"/>
      <c r="H163" s="62">
        <v>3</v>
      </c>
      <c r="I163" s="60" t="s">
        <v>128</v>
      </c>
      <c r="J163" s="42">
        <v>10</v>
      </c>
      <c r="K163" s="41">
        <v>2024</v>
      </c>
    </row>
    <row r="164" spans="1:11" hidden="1" x14ac:dyDescent="0.25">
      <c r="A164" s="58">
        <v>45566</v>
      </c>
      <c r="B164" s="59"/>
      <c r="C164" s="59" t="s">
        <v>21</v>
      </c>
      <c r="D164" s="60" t="s">
        <v>22</v>
      </c>
      <c r="E164" s="61">
        <v>2</v>
      </c>
      <c r="F164" s="61"/>
      <c r="G164" s="58"/>
      <c r="H164" s="62">
        <v>2</v>
      </c>
      <c r="I164" s="60" t="s">
        <v>207</v>
      </c>
      <c r="J164" s="42">
        <v>10</v>
      </c>
      <c r="K164" s="41">
        <v>2024</v>
      </c>
    </row>
    <row r="165" spans="1:11" x14ac:dyDescent="0.25">
      <c r="A165" s="58">
        <v>45566</v>
      </c>
      <c r="B165" s="59"/>
      <c r="C165" s="59" t="s">
        <v>14</v>
      </c>
      <c r="D165" s="60" t="s">
        <v>212</v>
      </c>
      <c r="E165" s="61">
        <v>1</v>
      </c>
      <c r="F165" s="61">
        <v>1</v>
      </c>
      <c r="G165" s="58">
        <v>45630</v>
      </c>
      <c r="H165" s="62">
        <v>0</v>
      </c>
      <c r="I165" s="60" t="s">
        <v>159</v>
      </c>
      <c r="J165" s="42">
        <v>10</v>
      </c>
      <c r="K165" s="41">
        <v>2024</v>
      </c>
    </row>
    <row r="166" spans="1:11" hidden="1" x14ac:dyDescent="0.25">
      <c r="A166" s="58">
        <v>45566</v>
      </c>
      <c r="B166" s="59"/>
      <c r="C166" s="59" t="s">
        <v>14</v>
      </c>
      <c r="D166" s="60" t="s">
        <v>213</v>
      </c>
      <c r="E166" s="61">
        <v>1</v>
      </c>
      <c r="F166" s="61">
        <v>1</v>
      </c>
      <c r="G166" s="58">
        <v>45683</v>
      </c>
      <c r="H166" s="62">
        <v>0</v>
      </c>
      <c r="I166" s="60" t="s">
        <v>214</v>
      </c>
      <c r="J166" s="42">
        <v>10</v>
      </c>
      <c r="K166" s="41">
        <v>2024</v>
      </c>
    </row>
    <row r="167" spans="1:11" hidden="1" x14ac:dyDescent="0.25">
      <c r="A167" s="58">
        <v>45566</v>
      </c>
      <c r="B167" s="59"/>
      <c r="C167" s="59" t="s">
        <v>121</v>
      </c>
      <c r="D167" s="60" t="s">
        <v>122</v>
      </c>
      <c r="E167" s="61">
        <v>4</v>
      </c>
      <c r="F167" s="61">
        <v>4</v>
      </c>
      <c r="G167" s="58">
        <v>45632</v>
      </c>
      <c r="H167" s="62">
        <v>0</v>
      </c>
      <c r="I167" s="60" t="s">
        <v>215</v>
      </c>
      <c r="J167" s="42">
        <v>10</v>
      </c>
      <c r="K167" s="41">
        <v>2024</v>
      </c>
    </row>
    <row r="168" spans="1:11" hidden="1" x14ac:dyDescent="0.25">
      <c r="A168" s="58">
        <v>45566</v>
      </c>
      <c r="B168" s="59"/>
      <c r="C168" s="59" t="s">
        <v>1514</v>
      </c>
      <c r="D168" s="60" t="s">
        <v>32</v>
      </c>
      <c r="E168" s="61">
        <v>1</v>
      </c>
      <c r="F168" s="61">
        <v>1</v>
      </c>
      <c r="G168" s="58">
        <v>45574</v>
      </c>
      <c r="H168" s="62">
        <v>0</v>
      </c>
      <c r="I168" s="60"/>
      <c r="J168" s="42">
        <v>10</v>
      </c>
      <c r="K168" s="41">
        <v>2024</v>
      </c>
    </row>
    <row r="169" spans="1:11" hidden="1" x14ac:dyDescent="0.25">
      <c r="A169" s="58">
        <v>45597</v>
      </c>
      <c r="B169" s="59"/>
      <c r="C169" s="59" t="s">
        <v>71</v>
      </c>
      <c r="D169" s="60" t="s">
        <v>32</v>
      </c>
      <c r="E169" s="61">
        <v>2</v>
      </c>
      <c r="F169" s="61"/>
      <c r="G169" s="58"/>
      <c r="H169" s="62">
        <v>2</v>
      </c>
      <c r="I169" s="60" t="s">
        <v>207</v>
      </c>
      <c r="J169" s="42">
        <v>11</v>
      </c>
      <c r="K169" s="41">
        <v>2024</v>
      </c>
    </row>
    <row r="170" spans="1:11" hidden="1" x14ac:dyDescent="0.25">
      <c r="A170" s="58">
        <v>45597</v>
      </c>
      <c r="B170" s="59"/>
      <c r="C170" s="59" t="s">
        <v>14</v>
      </c>
      <c r="D170" s="60" t="s">
        <v>129</v>
      </c>
      <c r="E170" s="61">
        <v>2</v>
      </c>
      <c r="F170" s="61">
        <v>2</v>
      </c>
      <c r="G170" s="58">
        <v>45681</v>
      </c>
      <c r="H170" s="62">
        <v>0</v>
      </c>
      <c r="I170" s="60" t="s">
        <v>207</v>
      </c>
      <c r="J170" s="42">
        <v>11</v>
      </c>
      <c r="K170" s="41">
        <v>2024</v>
      </c>
    </row>
    <row r="171" spans="1:11" hidden="1" x14ac:dyDescent="0.25">
      <c r="A171" s="58">
        <v>45597</v>
      </c>
      <c r="B171" s="59"/>
      <c r="C171" s="59" t="s">
        <v>14</v>
      </c>
      <c r="D171" s="60" t="s">
        <v>208</v>
      </c>
      <c r="E171" s="61">
        <v>2</v>
      </c>
      <c r="F171" s="61">
        <v>2</v>
      </c>
      <c r="G171" s="58">
        <v>45771</v>
      </c>
      <c r="H171" s="62">
        <v>0</v>
      </c>
      <c r="I171" s="60" t="s">
        <v>207</v>
      </c>
      <c r="J171" s="42">
        <v>11</v>
      </c>
      <c r="K171" s="41">
        <v>2024</v>
      </c>
    </row>
    <row r="172" spans="1:11" hidden="1" x14ac:dyDescent="0.25">
      <c r="A172" s="58">
        <v>45597</v>
      </c>
      <c r="B172" s="59"/>
      <c r="C172" s="59" t="s">
        <v>53</v>
      </c>
      <c r="D172" s="60" t="s">
        <v>54</v>
      </c>
      <c r="E172" s="61">
        <v>5</v>
      </c>
      <c r="F172" s="61"/>
      <c r="G172" s="58"/>
      <c r="H172" s="62">
        <v>5</v>
      </c>
      <c r="I172" s="60" t="s">
        <v>209</v>
      </c>
      <c r="J172" s="42">
        <v>11</v>
      </c>
      <c r="K172" s="41">
        <v>2024</v>
      </c>
    </row>
    <row r="173" spans="1:11" hidden="1" x14ac:dyDescent="0.25">
      <c r="A173" s="58">
        <v>45597</v>
      </c>
      <c r="B173" s="59"/>
      <c r="C173" s="59" t="s">
        <v>232</v>
      </c>
      <c r="D173" s="60" t="s">
        <v>15</v>
      </c>
      <c r="E173" s="61">
        <v>1</v>
      </c>
      <c r="F173" s="61">
        <v>1</v>
      </c>
      <c r="G173" s="58">
        <v>45681</v>
      </c>
      <c r="H173" s="62">
        <v>0</v>
      </c>
      <c r="I173" s="60" t="s">
        <v>181</v>
      </c>
      <c r="J173" s="42">
        <v>11</v>
      </c>
      <c r="K173" s="41">
        <v>2024</v>
      </c>
    </row>
    <row r="174" spans="1:11" hidden="1" x14ac:dyDescent="0.25">
      <c r="A174" s="58">
        <v>45597</v>
      </c>
      <c r="B174" s="59"/>
      <c r="C174" s="59" t="s">
        <v>231</v>
      </c>
      <c r="D174" s="60" t="s">
        <v>36</v>
      </c>
      <c r="E174" s="61">
        <v>8</v>
      </c>
      <c r="F174" s="61"/>
      <c r="G174" s="58"/>
      <c r="H174" s="62">
        <v>8</v>
      </c>
      <c r="I174" s="60" t="s">
        <v>210</v>
      </c>
      <c r="J174" s="42">
        <v>11</v>
      </c>
      <c r="K174" s="41">
        <v>2024</v>
      </c>
    </row>
    <row r="175" spans="1:11" hidden="1" x14ac:dyDescent="0.25">
      <c r="A175" s="58">
        <v>45597</v>
      </c>
      <c r="B175" s="59"/>
      <c r="C175" s="59" t="s">
        <v>29</v>
      </c>
      <c r="D175" s="60" t="s">
        <v>30</v>
      </c>
      <c r="E175" s="61">
        <v>4</v>
      </c>
      <c r="F175" s="61"/>
      <c r="G175" s="58"/>
      <c r="H175" s="62">
        <v>4</v>
      </c>
      <c r="I175" s="60" t="s">
        <v>211</v>
      </c>
      <c r="J175" s="42">
        <v>11</v>
      </c>
      <c r="K175" s="41">
        <v>2024</v>
      </c>
    </row>
    <row r="176" spans="1:11" x14ac:dyDescent="0.25">
      <c r="A176" s="58">
        <v>45597</v>
      </c>
      <c r="B176" s="59"/>
      <c r="C176" s="59" t="s">
        <v>43</v>
      </c>
      <c r="D176" s="60" t="s">
        <v>44</v>
      </c>
      <c r="E176" s="61">
        <v>3</v>
      </c>
      <c r="F176" s="61"/>
      <c r="G176" s="58"/>
      <c r="H176" s="62">
        <v>3</v>
      </c>
      <c r="I176" s="60" t="s">
        <v>128</v>
      </c>
      <c r="J176" s="42">
        <v>11</v>
      </c>
      <c r="K176" s="41">
        <v>2024</v>
      </c>
    </row>
    <row r="177" spans="1:11" hidden="1" x14ac:dyDescent="0.25">
      <c r="A177" s="58">
        <v>45597</v>
      </c>
      <c r="B177" s="59"/>
      <c r="C177" s="59" t="s">
        <v>21</v>
      </c>
      <c r="D177" s="60" t="s">
        <v>22</v>
      </c>
      <c r="E177" s="61">
        <v>2</v>
      </c>
      <c r="F177" s="61"/>
      <c r="G177" s="58"/>
      <c r="H177" s="62">
        <v>2</v>
      </c>
      <c r="I177" s="60" t="s">
        <v>207</v>
      </c>
      <c r="J177" s="42">
        <v>11</v>
      </c>
      <c r="K177" s="41">
        <v>2024</v>
      </c>
    </row>
    <row r="178" spans="1:11" x14ac:dyDescent="0.25">
      <c r="A178" s="58">
        <v>45597</v>
      </c>
      <c r="B178" s="59"/>
      <c r="C178" s="59" t="s">
        <v>14</v>
      </c>
      <c r="D178" s="60" t="s">
        <v>212</v>
      </c>
      <c r="E178" s="61">
        <v>1</v>
      </c>
      <c r="F178" s="61">
        <v>1</v>
      </c>
      <c r="G178" s="58">
        <v>45695</v>
      </c>
      <c r="H178" s="62">
        <v>0</v>
      </c>
      <c r="I178" s="60" t="s">
        <v>159</v>
      </c>
      <c r="J178" s="42">
        <v>11</v>
      </c>
      <c r="K178" s="41">
        <v>2024</v>
      </c>
    </row>
    <row r="179" spans="1:11" hidden="1" x14ac:dyDescent="0.25">
      <c r="A179" s="58">
        <v>45597</v>
      </c>
      <c r="B179" s="59"/>
      <c r="C179" s="59" t="s">
        <v>14</v>
      </c>
      <c r="D179" s="60" t="s">
        <v>213</v>
      </c>
      <c r="E179" s="61">
        <v>1</v>
      </c>
      <c r="F179" s="61">
        <v>1</v>
      </c>
      <c r="G179" s="58">
        <v>45705</v>
      </c>
      <c r="H179" s="62">
        <v>1</v>
      </c>
      <c r="I179" s="60" t="s">
        <v>214</v>
      </c>
      <c r="J179" s="42">
        <v>11</v>
      </c>
      <c r="K179" s="41">
        <v>2024</v>
      </c>
    </row>
    <row r="180" spans="1:11" hidden="1" x14ac:dyDescent="0.25">
      <c r="A180" s="58">
        <v>45597</v>
      </c>
      <c r="B180" s="59"/>
      <c r="C180" s="59" t="s">
        <v>121</v>
      </c>
      <c r="D180" s="60" t="s">
        <v>122</v>
      </c>
      <c r="E180" s="61">
        <v>4</v>
      </c>
      <c r="F180" s="61">
        <v>4</v>
      </c>
      <c r="G180" s="58">
        <v>45645</v>
      </c>
      <c r="H180" s="62">
        <v>0</v>
      </c>
      <c r="I180" s="60" t="s">
        <v>215</v>
      </c>
      <c r="J180" s="42">
        <v>11</v>
      </c>
      <c r="K180" s="41">
        <v>2024</v>
      </c>
    </row>
    <row r="181" spans="1:11" hidden="1" x14ac:dyDescent="0.25">
      <c r="A181" s="58">
        <v>45627</v>
      </c>
      <c r="B181" s="59"/>
      <c r="C181" s="59" t="s">
        <v>27</v>
      </c>
      <c r="D181" s="60" t="s">
        <v>28</v>
      </c>
      <c r="E181" s="61">
        <v>5</v>
      </c>
      <c r="F181" s="61">
        <v>5</v>
      </c>
      <c r="G181" s="58">
        <v>45666</v>
      </c>
      <c r="H181" s="62">
        <v>0</v>
      </c>
      <c r="I181" s="60" t="s">
        <v>216</v>
      </c>
      <c r="J181" s="42">
        <v>12</v>
      </c>
      <c r="K181" s="41">
        <v>2024</v>
      </c>
    </row>
    <row r="182" spans="1:11" hidden="1" x14ac:dyDescent="0.25">
      <c r="A182" s="58">
        <v>45627</v>
      </c>
      <c r="B182" s="59"/>
      <c r="C182" s="59" t="s">
        <v>65</v>
      </c>
      <c r="D182" s="60" t="s">
        <v>66</v>
      </c>
      <c r="E182" s="61">
        <v>5</v>
      </c>
      <c r="F182" s="61">
        <v>5</v>
      </c>
      <c r="G182" s="58">
        <v>45666</v>
      </c>
      <c r="H182" s="62">
        <v>0</v>
      </c>
      <c r="I182" s="60" t="s">
        <v>217</v>
      </c>
      <c r="J182" s="42">
        <v>12</v>
      </c>
      <c r="K182" s="41">
        <v>2024</v>
      </c>
    </row>
    <row r="183" spans="1:11" hidden="1" x14ac:dyDescent="0.25">
      <c r="A183" s="58">
        <v>45627</v>
      </c>
      <c r="B183" s="59"/>
      <c r="C183" s="59" t="s">
        <v>33</v>
      </c>
      <c r="D183" s="60" t="s">
        <v>34</v>
      </c>
      <c r="E183" s="61">
        <v>1</v>
      </c>
      <c r="F183" s="61"/>
      <c r="G183" s="58"/>
      <c r="H183" s="62">
        <v>1</v>
      </c>
      <c r="I183" s="60" t="s">
        <v>214</v>
      </c>
      <c r="J183" s="42">
        <v>12</v>
      </c>
      <c r="K183" s="41">
        <v>2024</v>
      </c>
    </row>
    <row r="184" spans="1:11" hidden="1" x14ac:dyDescent="0.25">
      <c r="A184" s="58">
        <v>45627</v>
      </c>
      <c r="B184" s="59"/>
      <c r="C184" s="59" t="s">
        <v>24</v>
      </c>
      <c r="D184" s="60" t="s">
        <v>25</v>
      </c>
      <c r="E184" s="61">
        <v>2</v>
      </c>
      <c r="F184" s="61"/>
      <c r="G184" s="58"/>
      <c r="H184" s="62">
        <v>2</v>
      </c>
      <c r="I184" s="60" t="s">
        <v>218</v>
      </c>
      <c r="J184" s="42">
        <v>12</v>
      </c>
      <c r="K184" s="41">
        <v>2024</v>
      </c>
    </row>
    <row r="185" spans="1:11" hidden="1" x14ac:dyDescent="0.25">
      <c r="A185" s="58">
        <v>45627</v>
      </c>
      <c r="B185" s="59"/>
      <c r="C185" s="59" t="s">
        <v>14</v>
      </c>
      <c r="D185" s="60" t="s">
        <v>219</v>
      </c>
      <c r="E185" s="61">
        <v>1</v>
      </c>
      <c r="F185" s="61"/>
      <c r="G185" s="58"/>
      <c r="H185" s="62">
        <v>1</v>
      </c>
      <c r="I185" s="60" t="s">
        <v>214</v>
      </c>
      <c r="J185" s="42">
        <v>12</v>
      </c>
      <c r="K185" s="41">
        <v>2024</v>
      </c>
    </row>
    <row r="186" spans="1:11" hidden="1" x14ac:dyDescent="0.25">
      <c r="A186" s="58">
        <v>45627</v>
      </c>
      <c r="B186" s="59"/>
      <c r="C186" s="59" t="s">
        <v>14</v>
      </c>
      <c r="D186" s="60" t="s">
        <v>220</v>
      </c>
      <c r="E186" s="61">
        <v>8</v>
      </c>
      <c r="F186" s="61"/>
      <c r="G186" s="58"/>
      <c r="H186" s="62">
        <v>8</v>
      </c>
      <c r="I186" s="60" t="s">
        <v>221</v>
      </c>
      <c r="J186" s="42">
        <v>12</v>
      </c>
      <c r="K186" s="41">
        <v>2024</v>
      </c>
    </row>
    <row r="187" spans="1:11" x14ac:dyDescent="0.25">
      <c r="A187" s="58">
        <v>45627</v>
      </c>
      <c r="B187" s="59"/>
      <c r="C187" s="59" t="s">
        <v>14</v>
      </c>
      <c r="D187" s="60" t="s">
        <v>222</v>
      </c>
      <c r="E187" s="61">
        <v>6</v>
      </c>
      <c r="F187" s="61"/>
      <c r="G187" s="58"/>
      <c r="H187" s="62">
        <v>6</v>
      </c>
      <c r="I187" s="60" t="s">
        <v>223</v>
      </c>
      <c r="J187" s="42">
        <v>12</v>
      </c>
      <c r="K187" s="41">
        <v>2024</v>
      </c>
    </row>
    <row r="188" spans="1:11" x14ac:dyDescent="0.25">
      <c r="A188" s="58">
        <v>45627</v>
      </c>
      <c r="B188" s="59"/>
      <c r="C188" s="59" t="s">
        <v>14</v>
      </c>
      <c r="D188" s="60" t="s">
        <v>224</v>
      </c>
      <c r="E188" s="61">
        <v>2</v>
      </c>
      <c r="F188" s="61"/>
      <c r="G188" s="58"/>
      <c r="H188" s="62">
        <v>2</v>
      </c>
      <c r="I188" s="60" t="s">
        <v>218</v>
      </c>
      <c r="J188" s="42">
        <v>12</v>
      </c>
      <c r="K188" s="41">
        <v>2024</v>
      </c>
    </row>
    <row r="189" spans="1:11" hidden="1" x14ac:dyDescent="0.25">
      <c r="A189" s="58">
        <v>45627</v>
      </c>
      <c r="B189" s="59"/>
      <c r="C189" s="59" t="s">
        <v>14</v>
      </c>
      <c r="D189" s="60" t="s">
        <v>225</v>
      </c>
      <c r="E189" s="61">
        <v>4</v>
      </c>
      <c r="F189" s="61"/>
      <c r="G189" s="58"/>
      <c r="H189" s="62">
        <v>4</v>
      </c>
      <c r="I189" s="60" t="s">
        <v>226</v>
      </c>
      <c r="J189" s="42">
        <v>12</v>
      </c>
      <c r="K189" s="41">
        <v>2024</v>
      </c>
    </row>
    <row r="190" spans="1:11" hidden="1" x14ac:dyDescent="0.25">
      <c r="A190" s="58">
        <v>45627</v>
      </c>
      <c r="B190" s="59"/>
      <c r="C190" s="59" t="s">
        <v>14</v>
      </c>
      <c r="D190" s="60" t="s">
        <v>227</v>
      </c>
      <c r="E190" s="61">
        <v>4</v>
      </c>
      <c r="F190" s="61"/>
      <c r="G190" s="58"/>
      <c r="H190" s="62">
        <v>4</v>
      </c>
      <c r="I190" s="60" t="s">
        <v>228</v>
      </c>
      <c r="J190" s="42">
        <v>12</v>
      </c>
      <c r="K190" s="41">
        <v>2024</v>
      </c>
    </row>
    <row r="191" spans="1:11" hidden="1" x14ac:dyDescent="0.25">
      <c r="A191" s="58">
        <v>45658</v>
      </c>
      <c r="B191" s="59"/>
      <c r="C191" s="59" t="s">
        <v>14</v>
      </c>
      <c r="D191" s="60" t="s">
        <v>229</v>
      </c>
      <c r="E191" s="61">
        <v>8</v>
      </c>
      <c r="F191" s="61">
        <v>8</v>
      </c>
      <c r="G191" s="58">
        <v>45678</v>
      </c>
      <c r="H191" s="62">
        <v>0</v>
      </c>
      <c r="I191" s="60" t="s">
        <v>230</v>
      </c>
      <c r="J191" s="42">
        <v>1</v>
      </c>
      <c r="K191" s="41">
        <v>2025</v>
      </c>
    </row>
    <row r="192" spans="1:11" hidden="1" x14ac:dyDescent="0.25">
      <c r="A192" s="58">
        <v>45658</v>
      </c>
      <c r="B192" s="59"/>
      <c r="C192" s="59" t="s">
        <v>231</v>
      </c>
      <c r="D192" s="60" t="s">
        <v>36</v>
      </c>
      <c r="E192" s="61">
        <v>5</v>
      </c>
      <c r="F192" s="61">
        <v>5</v>
      </c>
      <c r="G192" s="58">
        <v>45743</v>
      </c>
      <c r="H192" s="62">
        <v>0</v>
      </c>
      <c r="I192" s="60" t="s">
        <v>217</v>
      </c>
      <c r="J192" s="42">
        <v>1</v>
      </c>
      <c r="K192" s="41">
        <v>2025</v>
      </c>
    </row>
    <row r="193" spans="1:11" hidden="1" x14ac:dyDescent="0.25">
      <c r="A193" s="58">
        <v>45658</v>
      </c>
      <c r="B193" s="59"/>
      <c r="C193" s="59" t="s">
        <v>232</v>
      </c>
      <c r="D193" s="60" t="s">
        <v>15</v>
      </c>
      <c r="E193" s="61">
        <v>2</v>
      </c>
      <c r="F193" s="61">
        <v>2</v>
      </c>
      <c r="G193" s="58">
        <v>45756</v>
      </c>
      <c r="H193" s="62">
        <v>0</v>
      </c>
      <c r="I193" s="60" t="s">
        <v>218</v>
      </c>
      <c r="J193" s="42">
        <v>1</v>
      </c>
      <c r="K193" s="41">
        <v>2025</v>
      </c>
    </row>
    <row r="194" spans="1:11" x14ac:dyDescent="0.25">
      <c r="A194" s="58">
        <v>45689</v>
      </c>
      <c r="B194" s="59"/>
      <c r="C194" s="59" t="s">
        <v>156</v>
      </c>
      <c r="D194" s="60" t="s">
        <v>157</v>
      </c>
      <c r="E194" s="61">
        <v>3</v>
      </c>
      <c r="F194" s="61">
        <v>3</v>
      </c>
      <c r="G194" s="58">
        <v>45695</v>
      </c>
      <c r="H194" s="62">
        <v>0</v>
      </c>
      <c r="I194" s="60" t="s">
        <v>233</v>
      </c>
      <c r="J194" s="42">
        <v>2</v>
      </c>
      <c r="K194" s="41">
        <v>2025</v>
      </c>
    </row>
    <row r="195" spans="1:11" hidden="1" x14ac:dyDescent="0.25">
      <c r="A195" s="58">
        <v>45689</v>
      </c>
      <c r="B195" s="59"/>
      <c r="C195" s="59" t="s">
        <v>179</v>
      </c>
      <c r="D195" s="60" t="s">
        <v>180</v>
      </c>
      <c r="E195" s="61" t="s">
        <v>234</v>
      </c>
      <c r="F195" s="61"/>
      <c r="G195" s="58"/>
      <c r="H195" s="62" t="e">
        <v>#VALUE!</v>
      </c>
      <c r="I195" s="60" t="s">
        <v>207</v>
      </c>
      <c r="J195" s="42">
        <v>2</v>
      </c>
      <c r="K195" s="41">
        <v>2025</v>
      </c>
    </row>
    <row r="196" spans="1:11" hidden="1" x14ac:dyDescent="0.25">
      <c r="A196" s="58">
        <v>45689</v>
      </c>
      <c r="B196" s="59"/>
      <c r="C196" s="59" t="s">
        <v>161</v>
      </c>
      <c r="D196" s="60" t="s">
        <v>162</v>
      </c>
      <c r="E196" s="61">
        <v>2</v>
      </c>
      <c r="F196" s="61">
        <v>2</v>
      </c>
      <c r="G196" s="58">
        <v>45707</v>
      </c>
      <c r="H196" s="62">
        <v>0</v>
      </c>
      <c r="I196" s="60" t="s">
        <v>207</v>
      </c>
      <c r="J196" s="42">
        <v>2</v>
      </c>
      <c r="K196" s="41">
        <v>2025</v>
      </c>
    </row>
    <row r="197" spans="1:11" hidden="1" x14ac:dyDescent="0.25">
      <c r="A197" s="58">
        <v>45689</v>
      </c>
      <c r="B197" s="59"/>
      <c r="C197" s="59" t="s">
        <v>27</v>
      </c>
      <c r="D197" s="60" t="s">
        <v>28</v>
      </c>
      <c r="E197" s="61">
        <v>3</v>
      </c>
      <c r="F197" s="61">
        <v>3</v>
      </c>
      <c r="G197" s="58">
        <v>45695</v>
      </c>
      <c r="H197" s="62">
        <v>0</v>
      </c>
      <c r="I197" s="60" t="s">
        <v>235</v>
      </c>
      <c r="J197" s="42">
        <v>2</v>
      </c>
      <c r="K197" s="41">
        <v>2025</v>
      </c>
    </row>
    <row r="198" spans="1:11" hidden="1" x14ac:dyDescent="0.25">
      <c r="A198" s="58">
        <v>45689</v>
      </c>
      <c r="B198" s="59"/>
      <c r="C198" s="59" t="s">
        <v>65</v>
      </c>
      <c r="D198" s="60" t="s">
        <v>66</v>
      </c>
      <c r="E198" s="61">
        <v>3</v>
      </c>
      <c r="F198" s="61">
        <v>3</v>
      </c>
      <c r="G198" s="58">
        <v>45695</v>
      </c>
      <c r="H198" s="62">
        <v>0</v>
      </c>
      <c r="I198" s="60" t="s">
        <v>236</v>
      </c>
      <c r="J198" s="42">
        <v>2</v>
      </c>
      <c r="K198" s="41">
        <v>2025</v>
      </c>
    </row>
    <row r="199" spans="1:11" hidden="1" x14ac:dyDescent="0.25">
      <c r="A199" s="58">
        <v>45689</v>
      </c>
      <c r="B199" s="59"/>
      <c r="C199" s="59" t="s">
        <v>185</v>
      </c>
      <c r="D199" s="60" t="s">
        <v>186</v>
      </c>
      <c r="E199" s="61">
        <v>5</v>
      </c>
      <c r="F199" s="61"/>
      <c r="G199" s="58"/>
      <c r="H199" s="62">
        <v>5</v>
      </c>
      <c r="I199" s="60" t="s">
        <v>237</v>
      </c>
      <c r="J199" s="42">
        <v>2</v>
      </c>
      <c r="K199" s="41">
        <v>2025</v>
      </c>
    </row>
    <row r="200" spans="1:11" hidden="1" x14ac:dyDescent="0.25">
      <c r="A200" s="58">
        <v>45689</v>
      </c>
      <c r="B200" s="59"/>
      <c r="C200" s="59" t="s">
        <v>144</v>
      </c>
      <c r="D200" s="60" t="s">
        <v>145</v>
      </c>
      <c r="E200" s="61">
        <v>3</v>
      </c>
      <c r="F200" s="61">
        <v>3</v>
      </c>
      <c r="G200" s="58">
        <v>45700</v>
      </c>
      <c r="H200" s="62">
        <v>0</v>
      </c>
      <c r="I200" s="60" t="s">
        <v>238</v>
      </c>
      <c r="J200" s="42">
        <v>2</v>
      </c>
      <c r="K200" s="41">
        <v>2025</v>
      </c>
    </row>
    <row r="201" spans="1:11" hidden="1" x14ac:dyDescent="0.25">
      <c r="A201" s="58">
        <v>45689</v>
      </c>
      <c r="B201" s="59"/>
      <c r="C201" s="59" t="s">
        <v>18</v>
      </c>
      <c r="D201" s="60" t="s">
        <v>19</v>
      </c>
      <c r="E201" s="61">
        <v>1</v>
      </c>
      <c r="F201" s="61">
        <v>1</v>
      </c>
      <c r="G201" s="58">
        <v>45695</v>
      </c>
      <c r="H201" s="62">
        <v>0</v>
      </c>
      <c r="I201" s="60" t="s">
        <v>239</v>
      </c>
      <c r="J201" s="42">
        <v>2</v>
      </c>
      <c r="K201" s="41">
        <v>2025</v>
      </c>
    </row>
    <row r="202" spans="1:11" hidden="1" x14ac:dyDescent="0.25">
      <c r="A202" s="58">
        <v>45689</v>
      </c>
      <c r="B202" s="59"/>
      <c r="C202" s="59" t="s">
        <v>231</v>
      </c>
      <c r="D202" s="60" t="s">
        <v>36</v>
      </c>
      <c r="E202" s="61">
        <v>6</v>
      </c>
      <c r="F202" s="61">
        <v>6</v>
      </c>
      <c r="G202" s="58">
        <v>45707</v>
      </c>
      <c r="H202" s="62">
        <v>0</v>
      </c>
      <c r="I202" s="60" t="s">
        <v>240</v>
      </c>
      <c r="J202" s="42">
        <v>2</v>
      </c>
      <c r="K202" s="41">
        <v>2025</v>
      </c>
    </row>
    <row r="203" spans="1:11" hidden="1" x14ac:dyDescent="0.25">
      <c r="A203" s="58">
        <v>45689</v>
      </c>
      <c r="B203" s="59"/>
      <c r="C203" s="59" t="s">
        <v>232</v>
      </c>
      <c r="D203" s="60" t="s">
        <v>241</v>
      </c>
      <c r="E203" s="61">
        <v>2</v>
      </c>
      <c r="F203" s="61"/>
      <c r="G203" s="58"/>
      <c r="H203" s="62">
        <v>2</v>
      </c>
      <c r="I203" s="60" t="s">
        <v>242</v>
      </c>
      <c r="J203" s="42">
        <v>2</v>
      </c>
      <c r="K203" s="41">
        <v>2025</v>
      </c>
    </row>
    <row r="204" spans="1:11" hidden="1" x14ac:dyDescent="0.25">
      <c r="A204" s="58">
        <v>45689</v>
      </c>
      <c r="B204" s="59"/>
      <c r="C204" s="59" t="s">
        <v>29</v>
      </c>
      <c r="D204" s="60" t="s">
        <v>30</v>
      </c>
      <c r="E204" s="61">
        <v>4</v>
      </c>
      <c r="F204" s="61">
        <v>4</v>
      </c>
      <c r="G204" s="58">
        <v>45700</v>
      </c>
      <c r="H204" s="62">
        <v>0</v>
      </c>
      <c r="I204" s="60" t="s">
        <v>243</v>
      </c>
      <c r="J204" s="42">
        <v>2</v>
      </c>
      <c r="K204" s="41">
        <v>2025</v>
      </c>
    </row>
    <row r="205" spans="1:11" hidden="1" x14ac:dyDescent="0.25">
      <c r="A205" s="58">
        <v>45699</v>
      </c>
      <c r="B205" s="59"/>
      <c r="C205" s="59" t="s">
        <v>14</v>
      </c>
      <c r="D205" s="60" t="s">
        <v>244</v>
      </c>
      <c r="E205" s="61">
        <v>18</v>
      </c>
      <c r="F205" s="61">
        <v>21</v>
      </c>
      <c r="G205" s="58">
        <v>45699</v>
      </c>
      <c r="H205" s="62">
        <v>-3</v>
      </c>
      <c r="I205" s="60" t="s">
        <v>245</v>
      </c>
      <c r="J205" s="42">
        <v>2</v>
      </c>
      <c r="K205" s="41">
        <v>2025</v>
      </c>
    </row>
    <row r="206" spans="1:11" hidden="1" x14ac:dyDescent="0.25">
      <c r="A206" s="58">
        <v>45717</v>
      </c>
      <c r="B206" s="59"/>
      <c r="C206" s="59" t="s">
        <v>11</v>
      </c>
      <c r="D206" s="60" t="s">
        <v>246</v>
      </c>
      <c r="E206" s="61">
        <v>3</v>
      </c>
      <c r="F206" s="61"/>
      <c r="G206" s="58"/>
      <c r="H206" s="62">
        <v>3</v>
      </c>
      <c r="I206" s="60"/>
      <c r="J206" s="42">
        <v>3</v>
      </c>
      <c r="K206" s="41">
        <v>2025</v>
      </c>
    </row>
    <row r="207" spans="1:11" hidden="1" x14ac:dyDescent="0.25">
      <c r="A207" s="58">
        <v>45717</v>
      </c>
      <c r="B207" s="59"/>
      <c r="C207" s="59" t="s">
        <v>247</v>
      </c>
      <c r="D207" s="60" t="s">
        <v>248</v>
      </c>
      <c r="E207" s="61">
        <v>5</v>
      </c>
      <c r="F207" s="61">
        <v>5</v>
      </c>
      <c r="G207" s="58">
        <v>45699</v>
      </c>
      <c r="H207" s="62">
        <v>0</v>
      </c>
      <c r="I207" s="60"/>
      <c r="J207" s="42">
        <v>3</v>
      </c>
      <c r="K207" s="41">
        <v>2025</v>
      </c>
    </row>
    <row r="208" spans="1:11" hidden="1" x14ac:dyDescent="0.25">
      <c r="A208" s="58">
        <v>45717</v>
      </c>
      <c r="B208" s="59"/>
      <c r="C208" s="59" t="s">
        <v>81</v>
      </c>
      <c r="D208" s="60" t="s">
        <v>82</v>
      </c>
      <c r="E208" s="61">
        <v>5</v>
      </c>
      <c r="F208" s="61">
        <v>5</v>
      </c>
      <c r="G208" s="58">
        <v>45743</v>
      </c>
      <c r="H208" s="62">
        <v>0</v>
      </c>
      <c r="I208" s="60"/>
      <c r="J208" s="42">
        <v>3</v>
      </c>
      <c r="K208" s="41">
        <v>2025</v>
      </c>
    </row>
    <row r="209" spans="1:11" hidden="1" x14ac:dyDescent="0.25">
      <c r="A209" s="58">
        <v>45717</v>
      </c>
      <c r="B209" s="59"/>
      <c r="C209" s="59" t="s">
        <v>231</v>
      </c>
      <c r="D209" s="60" t="s">
        <v>36</v>
      </c>
      <c r="E209" s="61">
        <v>7</v>
      </c>
      <c r="F209" s="61">
        <v>2</v>
      </c>
      <c r="G209" s="58">
        <v>45743</v>
      </c>
      <c r="H209" s="62">
        <v>5</v>
      </c>
      <c r="I209" s="60"/>
      <c r="J209" s="42">
        <v>3</v>
      </c>
      <c r="K209" s="41">
        <v>2025</v>
      </c>
    </row>
    <row r="210" spans="1:11" hidden="1" x14ac:dyDescent="0.25">
      <c r="A210" s="58">
        <v>45717</v>
      </c>
      <c r="B210" s="59"/>
      <c r="C210" s="59" t="s">
        <v>92</v>
      </c>
      <c r="D210" s="60" t="s">
        <v>93</v>
      </c>
      <c r="E210" s="61">
        <v>5</v>
      </c>
      <c r="F210" s="61">
        <v>5</v>
      </c>
      <c r="G210" s="58">
        <v>45743</v>
      </c>
      <c r="H210" s="62">
        <v>0</v>
      </c>
      <c r="I210" s="60"/>
      <c r="J210" s="42">
        <v>3</v>
      </c>
      <c r="K210" s="41">
        <v>2025</v>
      </c>
    </row>
    <row r="211" spans="1:11" hidden="1" x14ac:dyDescent="0.25">
      <c r="A211" s="58">
        <v>45717</v>
      </c>
      <c r="B211" s="59"/>
      <c r="C211" s="59" t="s">
        <v>33</v>
      </c>
      <c r="D211" s="60" t="s">
        <v>34</v>
      </c>
      <c r="E211" s="61">
        <v>3</v>
      </c>
      <c r="F211" s="61">
        <v>3</v>
      </c>
      <c r="G211" s="58">
        <v>45751</v>
      </c>
      <c r="H211" s="62">
        <v>0</v>
      </c>
      <c r="I211" s="60"/>
      <c r="J211" s="42">
        <v>3</v>
      </c>
      <c r="K211" s="41">
        <v>2025</v>
      </c>
    </row>
    <row r="212" spans="1:11" hidden="1" x14ac:dyDescent="0.25">
      <c r="A212" s="58">
        <v>45717</v>
      </c>
      <c r="B212" s="59"/>
      <c r="C212" s="59" t="s">
        <v>249</v>
      </c>
      <c r="D212" s="60" t="s">
        <v>250</v>
      </c>
      <c r="E212" s="61">
        <v>3</v>
      </c>
      <c r="F212" s="61">
        <v>3</v>
      </c>
      <c r="G212" s="58">
        <v>45751</v>
      </c>
      <c r="H212" s="62">
        <v>0</v>
      </c>
      <c r="I212" s="60"/>
      <c r="J212" s="42">
        <v>3</v>
      </c>
      <c r="K212" s="41">
        <v>2025</v>
      </c>
    </row>
    <row r="213" spans="1:11" hidden="1" x14ac:dyDescent="0.25">
      <c r="A213" s="58">
        <v>45717</v>
      </c>
      <c r="B213" s="59"/>
      <c r="C213" s="59" t="s">
        <v>14</v>
      </c>
      <c r="D213" s="60" t="s">
        <v>229</v>
      </c>
      <c r="E213" s="61">
        <v>5</v>
      </c>
      <c r="F213" s="61">
        <v>5</v>
      </c>
      <c r="G213" s="58">
        <v>45751</v>
      </c>
      <c r="H213" s="62">
        <v>0</v>
      </c>
      <c r="I213" s="60"/>
      <c r="J213" s="42">
        <v>3</v>
      </c>
      <c r="K213" s="41">
        <v>2025</v>
      </c>
    </row>
    <row r="214" spans="1:11" hidden="1" x14ac:dyDescent="0.25">
      <c r="A214" s="58">
        <v>45717</v>
      </c>
      <c r="B214" s="59"/>
      <c r="C214" s="59" t="s">
        <v>46</v>
      </c>
      <c r="D214" s="60" t="s">
        <v>47</v>
      </c>
      <c r="E214" s="61">
        <v>4</v>
      </c>
      <c r="F214" s="61">
        <v>4</v>
      </c>
      <c r="G214" s="58">
        <v>45751</v>
      </c>
      <c r="H214" s="62">
        <v>0</v>
      </c>
      <c r="I214" s="60"/>
      <c r="J214" s="42">
        <v>3</v>
      </c>
      <c r="K214" s="41">
        <v>2025</v>
      </c>
    </row>
    <row r="215" spans="1:11" hidden="1" x14ac:dyDescent="0.25">
      <c r="A215" s="58">
        <v>45734</v>
      </c>
      <c r="B215" s="59" t="s">
        <v>251</v>
      </c>
      <c r="C215" s="59" t="str">
        <f>IFERROR(VLOOKUP(D215,'CODIGOS ACTIVOS'!A:E,2,0), "NUEVO")</f>
        <v>NUEVO</v>
      </c>
      <c r="D215" s="60" t="s">
        <v>252</v>
      </c>
      <c r="E215" s="61">
        <v>30</v>
      </c>
      <c r="F215" s="61"/>
      <c r="G215" s="58"/>
      <c r="H215" s="62"/>
      <c r="I215" s="60" t="s">
        <v>253</v>
      </c>
      <c r="J215" s="42">
        <f>MONTH(A215)</f>
        <v>3</v>
      </c>
      <c r="K215" s="41"/>
    </row>
    <row r="216" spans="1:11" hidden="1" x14ac:dyDescent="0.25">
      <c r="A216" s="58">
        <v>45744</v>
      </c>
      <c r="B216" s="59"/>
      <c r="C216" s="59" t="s">
        <v>14</v>
      </c>
      <c r="D216" s="60" t="s">
        <v>254</v>
      </c>
      <c r="E216" s="61">
        <v>1</v>
      </c>
      <c r="F216" s="61">
        <v>1</v>
      </c>
      <c r="G216" s="58">
        <v>45744</v>
      </c>
      <c r="H216" s="62">
        <v>0</v>
      </c>
      <c r="I216" s="60"/>
      <c r="J216" s="42">
        <v>3</v>
      </c>
      <c r="K216" s="41">
        <v>2025</v>
      </c>
    </row>
    <row r="217" spans="1:11" hidden="1" x14ac:dyDescent="0.25">
      <c r="A217" s="58">
        <v>45748</v>
      </c>
      <c r="B217" s="59"/>
      <c r="C217" s="59" t="s">
        <v>232</v>
      </c>
      <c r="D217" s="60" t="s">
        <v>15</v>
      </c>
      <c r="E217" s="61">
        <v>2</v>
      </c>
      <c r="F217" s="61">
        <v>2</v>
      </c>
      <c r="G217" s="58">
        <v>45828</v>
      </c>
      <c r="H217" s="62">
        <v>0</v>
      </c>
      <c r="I217" s="60"/>
      <c r="J217" s="42">
        <v>4</v>
      </c>
      <c r="K217" s="41">
        <v>2025</v>
      </c>
    </row>
    <row r="218" spans="1:11" hidden="1" x14ac:dyDescent="0.25">
      <c r="A218" s="58">
        <v>45748</v>
      </c>
      <c r="B218" s="59"/>
      <c r="C218" s="59" t="s">
        <v>231</v>
      </c>
      <c r="D218" s="60" t="s">
        <v>36</v>
      </c>
      <c r="E218" s="61">
        <v>5</v>
      </c>
      <c r="F218" s="61">
        <v>5</v>
      </c>
      <c r="G218" s="58">
        <v>45777</v>
      </c>
      <c r="H218" s="62">
        <v>0</v>
      </c>
      <c r="I218" s="60"/>
      <c r="J218" s="42">
        <v>4</v>
      </c>
      <c r="K218" s="41">
        <v>2025</v>
      </c>
    </row>
    <row r="219" spans="1:11" hidden="1" x14ac:dyDescent="0.25">
      <c r="A219" s="58">
        <v>45748</v>
      </c>
      <c r="B219" s="59"/>
      <c r="C219" s="59" t="s">
        <v>71</v>
      </c>
      <c r="D219" s="60" t="s">
        <v>32</v>
      </c>
      <c r="E219" s="61">
        <v>1</v>
      </c>
      <c r="F219" s="61"/>
      <c r="G219" s="58"/>
      <c r="H219" s="62">
        <v>1</v>
      </c>
      <c r="I219" s="60"/>
      <c r="J219" s="42">
        <v>4</v>
      </c>
      <c r="K219" s="41">
        <v>2025</v>
      </c>
    </row>
    <row r="220" spans="1:11" hidden="1" x14ac:dyDescent="0.25">
      <c r="A220" s="58">
        <v>45748</v>
      </c>
      <c r="B220" s="59"/>
      <c r="C220" s="59" t="s">
        <v>14</v>
      </c>
      <c r="D220" s="60" t="s">
        <v>229</v>
      </c>
      <c r="E220" s="61">
        <v>5</v>
      </c>
      <c r="F220" s="61">
        <v>5</v>
      </c>
      <c r="G220" s="58">
        <v>45771</v>
      </c>
      <c r="H220" s="62">
        <v>0</v>
      </c>
      <c r="I220" s="60"/>
      <c r="J220" s="42">
        <v>4</v>
      </c>
      <c r="K220" s="41">
        <v>2025</v>
      </c>
    </row>
    <row r="221" spans="1:11" hidden="1" x14ac:dyDescent="0.25">
      <c r="A221" s="58">
        <v>45748</v>
      </c>
      <c r="B221" s="59"/>
      <c r="C221" s="59" t="s">
        <v>166</v>
      </c>
      <c r="D221" s="60" t="s">
        <v>167</v>
      </c>
      <c r="E221" s="61">
        <v>3</v>
      </c>
      <c r="F221" s="61">
        <v>3</v>
      </c>
      <c r="G221" s="58">
        <v>45777</v>
      </c>
      <c r="H221" s="62">
        <v>0</v>
      </c>
      <c r="I221" s="60"/>
      <c r="J221" s="42">
        <v>4</v>
      </c>
      <c r="K221" s="41">
        <v>2025</v>
      </c>
    </row>
    <row r="222" spans="1:11" hidden="1" x14ac:dyDescent="0.25">
      <c r="A222" s="58">
        <v>45748</v>
      </c>
      <c r="B222" s="59"/>
      <c r="C222" s="59" t="s">
        <v>192</v>
      </c>
      <c r="D222" s="60" t="s">
        <v>193</v>
      </c>
      <c r="E222" s="61">
        <v>2</v>
      </c>
      <c r="F222" s="61">
        <v>2</v>
      </c>
      <c r="G222" s="58">
        <v>45777</v>
      </c>
      <c r="H222" s="62">
        <v>0</v>
      </c>
      <c r="I222" s="60"/>
      <c r="J222" s="42">
        <v>4</v>
      </c>
      <c r="K222" s="41">
        <v>2025</v>
      </c>
    </row>
    <row r="223" spans="1:11" hidden="1" x14ac:dyDescent="0.25">
      <c r="A223" s="58">
        <v>45748</v>
      </c>
      <c r="B223" s="59"/>
      <c r="C223" s="59" t="s">
        <v>121</v>
      </c>
      <c r="D223" s="60" t="s">
        <v>122</v>
      </c>
      <c r="E223" s="61">
        <v>3</v>
      </c>
      <c r="F223" s="61">
        <v>3</v>
      </c>
      <c r="G223" s="58">
        <v>45776</v>
      </c>
      <c r="H223" s="62">
        <v>0</v>
      </c>
      <c r="I223" s="60" t="s">
        <v>188</v>
      </c>
      <c r="J223" s="42">
        <v>4</v>
      </c>
      <c r="K223" s="41">
        <v>2025</v>
      </c>
    </row>
    <row r="224" spans="1:11" hidden="1" x14ac:dyDescent="0.25">
      <c r="A224" s="58">
        <v>45756</v>
      </c>
      <c r="B224" s="59"/>
      <c r="C224" s="59" t="s">
        <v>14</v>
      </c>
      <c r="D224" s="60" t="s">
        <v>213</v>
      </c>
      <c r="E224" s="61">
        <v>2</v>
      </c>
      <c r="F224" s="61">
        <v>2</v>
      </c>
      <c r="G224" s="58">
        <v>45756</v>
      </c>
      <c r="H224" s="62">
        <v>0</v>
      </c>
      <c r="I224" s="60" t="s">
        <v>181</v>
      </c>
      <c r="J224" s="42">
        <v>4</v>
      </c>
      <c r="K224" s="41">
        <v>2025</v>
      </c>
    </row>
    <row r="225" spans="1:12" hidden="1" x14ac:dyDescent="0.25">
      <c r="A225" s="58">
        <v>45778</v>
      </c>
      <c r="B225" s="59"/>
      <c r="C225" s="59" t="s">
        <v>231</v>
      </c>
      <c r="D225" s="60" t="s">
        <v>255</v>
      </c>
      <c r="E225" s="61">
        <v>5</v>
      </c>
      <c r="F225" s="61">
        <v>5</v>
      </c>
      <c r="G225" s="58">
        <v>45813</v>
      </c>
      <c r="H225" s="62">
        <v>0</v>
      </c>
      <c r="I225" s="60" t="s">
        <v>256</v>
      </c>
      <c r="J225" s="42">
        <v>5</v>
      </c>
      <c r="K225" s="41">
        <v>2025</v>
      </c>
      <c r="L225" t="s">
        <v>257</v>
      </c>
    </row>
    <row r="226" spans="1:12" hidden="1" x14ac:dyDescent="0.25">
      <c r="A226" s="58">
        <v>45778</v>
      </c>
      <c r="B226" s="59"/>
      <c r="C226" s="59" t="s">
        <v>27</v>
      </c>
      <c r="D226" s="60" t="s">
        <v>28</v>
      </c>
      <c r="E226" s="61">
        <v>5</v>
      </c>
      <c r="F226" s="61"/>
      <c r="G226" s="58"/>
      <c r="H226" s="62">
        <v>5</v>
      </c>
      <c r="I226" s="60" t="s">
        <v>258</v>
      </c>
      <c r="J226" s="42">
        <v>5</v>
      </c>
      <c r="K226" s="41">
        <v>2025</v>
      </c>
    </row>
    <row r="227" spans="1:12" hidden="1" x14ac:dyDescent="0.25">
      <c r="A227" s="58">
        <v>45778</v>
      </c>
      <c r="B227" s="59"/>
      <c r="C227" s="59" t="s">
        <v>68</v>
      </c>
      <c r="D227" s="60" t="s">
        <v>69</v>
      </c>
      <c r="E227" s="61">
        <v>3</v>
      </c>
      <c r="F227" s="61"/>
      <c r="G227" s="58"/>
      <c r="H227" s="62">
        <v>3</v>
      </c>
      <c r="I227" s="60" t="s">
        <v>259</v>
      </c>
      <c r="J227" s="42">
        <v>5</v>
      </c>
      <c r="K227" s="41">
        <v>2025</v>
      </c>
    </row>
    <row r="228" spans="1:12" hidden="1" x14ac:dyDescent="0.25">
      <c r="A228" s="58">
        <v>45778</v>
      </c>
      <c r="B228" s="59"/>
      <c r="C228" s="59" t="s">
        <v>14</v>
      </c>
      <c r="D228" s="60" t="s">
        <v>129</v>
      </c>
      <c r="E228" s="61">
        <v>1</v>
      </c>
      <c r="F228" s="61">
        <v>1</v>
      </c>
      <c r="G228" s="58">
        <v>45813</v>
      </c>
      <c r="H228" s="62">
        <v>0</v>
      </c>
      <c r="I228" s="60" t="s">
        <v>260</v>
      </c>
      <c r="J228" s="42">
        <v>5</v>
      </c>
      <c r="K228" s="41">
        <v>2025</v>
      </c>
    </row>
    <row r="229" spans="1:12" hidden="1" x14ac:dyDescent="0.25">
      <c r="A229" s="58">
        <v>45778</v>
      </c>
      <c r="B229" s="59"/>
      <c r="C229" s="59" t="s">
        <v>14</v>
      </c>
      <c r="D229" s="60" t="s">
        <v>130</v>
      </c>
      <c r="E229" s="61">
        <v>1</v>
      </c>
      <c r="F229" s="61">
        <v>1</v>
      </c>
      <c r="G229" s="58">
        <v>45813</v>
      </c>
      <c r="H229" s="62">
        <v>0</v>
      </c>
      <c r="I229" s="60" t="s">
        <v>260</v>
      </c>
      <c r="J229" s="42">
        <v>5</v>
      </c>
      <c r="K229" s="41">
        <v>2025</v>
      </c>
      <c r="L229" t="s">
        <v>261</v>
      </c>
    </row>
    <row r="230" spans="1:12" hidden="1" x14ac:dyDescent="0.25">
      <c r="A230" s="58">
        <v>45778</v>
      </c>
      <c r="B230" s="59"/>
      <c r="C230" s="59" t="s">
        <v>14</v>
      </c>
      <c r="D230" s="60" t="s">
        <v>262</v>
      </c>
      <c r="E230" s="61">
        <v>5</v>
      </c>
      <c r="F230" s="61">
        <v>3</v>
      </c>
      <c r="G230" s="58">
        <v>45813</v>
      </c>
      <c r="H230" s="62">
        <v>2</v>
      </c>
      <c r="I230" s="60" t="s">
        <v>263</v>
      </c>
      <c r="J230" s="42">
        <v>5</v>
      </c>
      <c r="K230" s="41">
        <v>2025</v>
      </c>
      <c r="L230" t="s">
        <v>264</v>
      </c>
    </row>
    <row r="231" spans="1:12" hidden="1" x14ac:dyDescent="0.25">
      <c r="A231" s="58">
        <v>45778</v>
      </c>
      <c r="B231" s="59"/>
      <c r="C231" s="59" t="s">
        <v>14</v>
      </c>
      <c r="D231" s="60" t="s">
        <v>265</v>
      </c>
      <c r="E231" s="61">
        <v>5</v>
      </c>
      <c r="F231" s="61">
        <v>1</v>
      </c>
      <c r="G231" s="58">
        <v>45813</v>
      </c>
      <c r="H231" s="62">
        <v>4</v>
      </c>
      <c r="I231" s="60" t="s">
        <v>263</v>
      </c>
      <c r="J231" s="42">
        <v>5</v>
      </c>
      <c r="K231" s="41">
        <v>2025</v>
      </c>
      <c r="L231" t="s">
        <v>266</v>
      </c>
    </row>
    <row r="232" spans="1:12" hidden="1" x14ac:dyDescent="0.25">
      <c r="A232" s="58">
        <v>45778</v>
      </c>
      <c r="B232" s="59"/>
      <c r="C232" s="59" t="s">
        <v>92</v>
      </c>
      <c r="D232" s="60" t="s">
        <v>93</v>
      </c>
      <c r="E232" s="61">
        <v>5</v>
      </c>
      <c r="F232" s="61"/>
      <c r="G232" s="58"/>
      <c r="H232" s="62">
        <v>5</v>
      </c>
      <c r="I232" s="60" t="s">
        <v>267</v>
      </c>
      <c r="J232" s="42">
        <v>5</v>
      </c>
      <c r="K232" s="41">
        <v>2025</v>
      </c>
    </row>
    <row r="233" spans="1:12" hidden="1" x14ac:dyDescent="0.25">
      <c r="A233" s="58">
        <v>45778</v>
      </c>
      <c r="B233" s="59"/>
      <c r="C233" s="59" t="s">
        <v>144</v>
      </c>
      <c r="D233" s="60" t="s">
        <v>145</v>
      </c>
      <c r="E233" s="61">
        <v>2</v>
      </c>
      <c r="F233" s="61">
        <v>2</v>
      </c>
      <c r="G233" s="58">
        <v>45813</v>
      </c>
      <c r="H233" s="62">
        <v>0</v>
      </c>
      <c r="I233" s="60" t="s">
        <v>218</v>
      </c>
      <c r="J233" s="42">
        <v>5</v>
      </c>
      <c r="K233" s="41">
        <v>2025</v>
      </c>
    </row>
    <row r="234" spans="1:12" hidden="1" x14ac:dyDescent="0.25">
      <c r="A234" s="58">
        <v>45778</v>
      </c>
      <c r="B234" s="59"/>
      <c r="C234" s="59" t="s">
        <v>268</v>
      </c>
      <c r="D234" s="60" t="s">
        <v>269</v>
      </c>
      <c r="E234" s="61">
        <v>2</v>
      </c>
      <c r="F234" s="61">
        <v>1</v>
      </c>
      <c r="G234" s="58">
        <v>45833</v>
      </c>
      <c r="H234" s="62">
        <v>1</v>
      </c>
      <c r="I234" s="60" t="s">
        <v>207</v>
      </c>
      <c r="J234" s="42">
        <v>5</v>
      </c>
      <c r="K234" s="41">
        <v>2025</v>
      </c>
    </row>
    <row r="235" spans="1:12" x14ac:dyDescent="0.25">
      <c r="A235" s="58">
        <v>45778</v>
      </c>
      <c r="B235" s="59"/>
      <c r="C235" s="59" t="s">
        <v>156</v>
      </c>
      <c r="D235" s="60" t="s">
        <v>157</v>
      </c>
      <c r="E235" s="61">
        <v>1</v>
      </c>
      <c r="F235" s="61"/>
      <c r="G235" s="58"/>
      <c r="H235" s="62">
        <v>1</v>
      </c>
      <c r="I235" s="60" t="s">
        <v>270</v>
      </c>
      <c r="J235" s="42">
        <v>5</v>
      </c>
      <c r="K235" s="41">
        <v>2025</v>
      </c>
    </row>
    <row r="236" spans="1:12" hidden="1" x14ac:dyDescent="0.25">
      <c r="A236" s="58">
        <v>45778</v>
      </c>
      <c r="B236" s="59"/>
      <c r="C236" s="59" t="s">
        <v>14</v>
      </c>
      <c r="D236" s="60" t="s">
        <v>271</v>
      </c>
      <c r="E236" s="61">
        <v>7</v>
      </c>
      <c r="F236" s="61"/>
      <c r="G236" s="58"/>
      <c r="H236" s="62">
        <v>0</v>
      </c>
      <c r="I236" s="60" t="s">
        <v>272</v>
      </c>
      <c r="J236" s="42">
        <v>5</v>
      </c>
      <c r="K236" s="41">
        <v>2025</v>
      </c>
    </row>
    <row r="237" spans="1:12" hidden="1" x14ac:dyDescent="0.25">
      <c r="A237" s="58">
        <v>45778</v>
      </c>
      <c r="B237" s="59"/>
      <c r="C237" s="59" t="s">
        <v>14</v>
      </c>
      <c r="D237" s="60" t="s">
        <v>273</v>
      </c>
      <c r="E237" s="61">
        <v>1</v>
      </c>
      <c r="F237" s="61">
        <v>1</v>
      </c>
      <c r="G237" s="58">
        <v>45840</v>
      </c>
      <c r="H237" s="62">
        <v>0</v>
      </c>
      <c r="I237" s="60" t="s">
        <v>274</v>
      </c>
      <c r="J237" s="42">
        <v>5</v>
      </c>
      <c r="K237" s="41">
        <v>2025</v>
      </c>
    </row>
    <row r="238" spans="1:12" hidden="1" x14ac:dyDescent="0.25">
      <c r="A238" s="58">
        <v>45778</v>
      </c>
      <c r="B238" s="59"/>
      <c r="C238" s="59" t="s">
        <v>14</v>
      </c>
      <c r="D238" s="60" t="s">
        <v>275</v>
      </c>
      <c r="E238" s="61">
        <v>1</v>
      </c>
      <c r="F238" s="61">
        <v>1</v>
      </c>
      <c r="G238" s="58">
        <v>45833</v>
      </c>
      <c r="H238" s="62">
        <v>0</v>
      </c>
      <c r="I238" s="60" t="s">
        <v>276</v>
      </c>
      <c r="J238" s="42">
        <v>6</v>
      </c>
      <c r="K238" s="41">
        <v>2025</v>
      </c>
    </row>
    <row r="239" spans="1:12" hidden="1" x14ac:dyDescent="0.25">
      <c r="A239" s="58">
        <v>45799</v>
      </c>
      <c r="B239" s="59"/>
      <c r="C239" s="59" t="s">
        <v>14</v>
      </c>
      <c r="D239" s="60" t="s">
        <v>277</v>
      </c>
      <c r="E239" s="61">
        <v>1</v>
      </c>
      <c r="F239" s="61">
        <v>1</v>
      </c>
      <c r="G239" s="58">
        <v>45799</v>
      </c>
      <c r="H239" s="62">
        <v>0</v>
      </c>
      <c r="I239" s="60" t="s">
        <v>181</v>
      </c>
      <c r="J239" s="42">
        <v>5</v>
      </c>
      <c r="K239" s="41">
        <v>2025</v>
      </c>
    </row>
    <row r="240" spans="1:12" hidden="1" x14ac:dyDescent="0.25">
      <c r="A240" s="58">
        <v>45809</v>
      </c>
      <c r="B240" s="59"/>
      <c r="C240" s="59" t="s">
        <v>14</v>
      </c>
      <c r="D240" s="60" t="s">
        <v>278</v>
      </c>
      <c r="E240" s="61">
        <v>1</v>
      </c>
      <c r="F240" s="61">
        <v>1</v>
      </c>
      <c r="G240" s="58">
        <v>45962</v>
      </c>
      <c r="H240" s="62">
        <v>0</v>
      </c>
      <c r="I240" s="60"/>
      <c r="J240" s="42">
        <v>6</v>
      </c>
      <c r="K240" s="41">
        <v>2025</v>
      </c>
      <c r="L240" t="s">
        <v>279</v>
      </c>
    </row>
    <row r="241" spans="1:11" hidden="1" x14ac:dyDescent="0.25">
      <c r="A241" s="58">
        <v>45824</v>
      </c>
      <c r="B241" s="59"/>
      <c r="C241" s="59" t="s">
        <v>231</v>
      </c>
      <c r="D241" s="60" t="s">
        <v>255</v>
      </c>
      <c r="E241" s="61">
        <v>5</v>
      </c>
      <c r="F241" s="61">
        <v>5</v>
      </c>
      <c r="G241" s="58"/>
      <c r="H241" s="62">
        <v>5</v>
      </c>
      <c r="I241" s="60" t="s">
        <v>256</v>
      </c>
      <c r="J241" s="42">
        <v>6</v>
      </c>
      <c r="K241" s="41">
        <v>2025</v>
      </c>
    </row>
    <row r="242" spans="1:11" hidden="1" x14ac:dyDescent="0.25">
      <c r="A242" s="58">
        <v>45824</v>
      </c>
      <c r="B242" s="59"/>
      <c r="C242" s="59" t="s">
        <v>14</v>
      </c>
      <c r="D242" s="60" t="s">
        <v>280</v>
      </c>
      <c r="E242" s="61">
        <v>3</v>
      </c>
      <c r="F242" s="61">
        <v>3</v>
      </c>
      <c r="G242" s="58">
        <v>45841</v>
      </c>
      <c r="H242" s="62">
        <v>0</v>
      </c>
      <c r="I242" s="60" t="s">
        <v>128</v>
      </c>
      <c r="J242" s="42">
        <v>6</v>
      </c>
      <c r="K242" s="41">
        <v>2025</v>
      </c>
    </row>
    <row r="243" spans="1:11" hidden="1" x14ac:dyDescent="0.25">
      <c r="A243" s="58">
        <v>45824</v>
      </c>
      <c r="B243" s="59"/>
      <c r="C243" s="59" t="s">
        <v>29</v>
      </c>
      <c r="D243" s="60" t="s">
        <v>30</v>
      </c>
      <c r="E243" s="61">
        <v>3</v>
      </c>
      <c r="F243" s="61">
        <v>3</v>
      </c>
      <c r="G243" s="58">
        <v>45841</v>
      </c>
      <c r="H243" s="62">
        <v>0</v>
      </c>
      <c r="I243" s="60" t="s">
        <v>281</v>
      </c>
      <c r="J243" s="42">
        <v>6</v>
      </c>
      <c r="K243" s="41">
        <v>2025</v>
      </c>
    </row>
    <row r="244" spans="1:11" hidden="1" x14ac:dyDescent="0.25">
      <c r="A244" s="58">
        <v>45824</v>
      </c>
      <c r="B244" s="59"/>
      <c r="C244" s="59" t="s">
        <v>46</v>
      </c>
      <c r="D244" s="60" t="s">
        <v>47</v>
      </c>
      <c r="E244" s="61">
        <v>2</v>
      </c>
      <c r="F244" s="61">
        <v>2</v>
      </c>
      <c r="G244" s="58">
        <v>45841</v>
      </c>
      <c r="H244" s="62">
        <v>0</v>
      </c>
      <c r="I244" s="60" t="s">
        <v>207</v>
      </c>
      <c r="J244" s="42">
        <v>6</v>
      </c>
      <c r="K244" s="41">
        <v>2025</v>
      </c>
    </row>
    <row r="245" spans="1:11" hidden="1" x14ac:dyDescent="0.25">
      <c r="A245" s="58">
        <v>45824</v>
      </c>
      <c r="B245" s="59"/>
      <c r="C245" s="59" t="s">
        <v>232</v>
      </c>
      <c r="D245" s="60" t="s">
        <v>15</v>
      </c>
      <c r="E245" s="61">
        <v>2</v>
      </c>
      <c r="F245" s="61">
        <v>2</v>
      </c>
      <c r="G245" s="58">
        <v>45833</v>
      </c>
      <c r="H245" s="62">
        <v>0</v>
      </c>
      <c r="I245" s="60" t="s">
        <v>242</v>
      </c>
      <c r="J245" s="42">
        <v>6</v>
      </c>
      <c r="K245" s="41">
        <v>2025</v>
      </c>
    </row>
    <row r="246" spans="1:11" hidden="1" x14ac:dyDescent="0.25">
      <c r="A246" s="58">
        <v>45824</v>
      </c>
      <c r="B246" s="59"/>
      <c r="C246" s="59" t="s">
        <v>268</v>
      </c>
      <c r="D246" s="60" t="s">
        <v>269</v>
      </c>
      <c r="E246" s="61">
        <v>2</v>
      </c>
      <c r="F246" s="61">
        <v>2</v>
      </c>
      <c r="G246" s="58">
        <v>45841</v>
      </c>
      <c r="H246" s="62">
        <v>0</v>
      </c>
      <c r="I246" s="60" t="s">
        <v>242</v>
      </c>
      <c r="J246" s="42">
        <v>6</v>
      </c>
      <c r="K246" s="41">
        <v>2025</v>
      </c>
    </row>
    <row r="247" spans="1:11" hidden="1" x14ac:dyDescent="0.25">
      <c r="A247" s="58">
        <v>45839</v>
      </c>
      <c r="B247" s="59"/>
      <c r="C247" s="59" t="s">
        <v>231</v>
      </c>
      <c r="D247" s="60" t="s">
        <v>255</v>
      </c>
      <c r="E247" s="61">
        <v>3</v>
      </c>
      <c r="F247" s="61"/>
      <c r="G247" s="58"/>
      <c r="H247" s="62">
        <v>3</v>
      </c>
      <c r="I247" s="60" t="s">
        <v>282</v>
      </c>
      <c r="J247" s="42">
        <v>7</v>
      </c>
      <c r="K247" s="41">
        <v>2025</v>
      </c>
    </row>
    <row r="248" spans="1:11" x14ac:dyDescent="0.25">
      <c r="A248" s="58">
        <v>45839</v>
      </c>
      <c r="B248" s="59"/>
      <c r="C248" s="59" t="s">
        <v>43</v>
      </c>
      <c r="D248" s="60" t="s">
        <v>44</v>
      </c>
      <c r="E248" s="61">
        <v>2</v>
      </c>
      <c r="F248" s="61">
        <v>2</v>
      </c>
      <c r="G248" s="58">
        <v>45856</v>
      </c>
      <c r="H248" s="62">
        <v>0</v>
      </c>
      <c r="I248" s="60" t="s">
        <v>283</v>
      </c>
      <c r="J248" s="42">
        <v>7</v>
      </c>
      <c r="K248" s="41">
        <v>2025</v>
      </c>
    </row>
    <row r="249" spans="1:11" hidden="1" x14ac:dyDescent="0.25">
      <c r="A249" s="58">
        <v>45839</v>
      </c>
      <c r="B249" s="59"/>
      <c r="C249" s="59" t="s">
        <v>121</v>
      </c>
      <c r="D249" s="60" t="s">
        <v>122</v>
      </c>
      <c r="E249" s="61">
        <v>4</v>
      </c>
      <c r="F249" s="61">
        <v>4</v>
      </c>
      <c r="G249" s="58">
        <v>45856</v>
      </c>
      <c r="H249" s="62">
        <v>0</v>
      </c>
      <c r="I249" s="60" t="s">
        <v>88</v>
      </c>
      <c r="J249" s="42">
        <v>7</v>
      </c>
      <c r="K249" s="41">
        <v>2025</v>
      </c>
    </row>
    <row r="250" spans="1:11" hidden="1" x14ac:dyDescent="0.25">
      <c r="A250" s="58">
        <v>45839</v>
      </c>
      <c r="B250" s="59"/>
      <c r="C250" s="59" t="s">
        <v>29</v>
      </c>
      <c r="D250" s="60" t="s">
        <v>30</v>
      </c>
      <c r="E250" s="61">
        <v>3</v>
      </c>
      <c r="F250" s="61">
        <v>3</v>
      </c>
      <c r="G250" s="58">
        <v>45856</v>
      </c>
      <c r="H250" s="62">
        <v>0</v>
      </c>
      <c r="I250" s="60" t="s">
        <v>284</v>
      </c>
      <c r="J250" s="42">
        <v>7</v>
      </c>
      <c r="K250" s="41">
        <v>2025</v>
      </c>
    </row>
    <row r="251" spans="1:11" hidden="1" x14ac:dyDescent="0.25">
      <c r="A251" s="58">
        <v>45839</v>
      </c>
      <c r="B251" s="59"/>
      <c r="C251" s="59" t="s">
        <v>65</v>
      </c>
      <c r="D251" s="60" t="s">
        <v>66</v>
      </c>
      <c r="E251" s="61">
        <v>3</v>
      </c>
      <c r="F251" s="61">
        <v>3</v>
      </c>
      <c r="G251" s="58">
        <v>45856</v>
      </c>
      <c r="H251" s="62">
        <v>0</v>
      </c>
      <c r="I251" s="60" t="s">
        <v>285</v>
      </c>
      <c r="J251" s="42">
        <v>7</v>
      </c>
      <c r="K251" s="41">
        <v>2025</v>
      </c>
    </row>
    <row r="252" spans="1:11" x14ac:dyDescent="0.25">
      <c r="A252" s="58">
        <v>45839</v>
      </c>
      <c r="B252" s="59"/>
      <c r="C252" s="59" t="s">
        <v>33</v>
      </c>
      <c r="D252" s="60" t="s">
        <v>154</v>
      </c>
      <c r="E252" s="61">
        <v>5</v>
      </c>
      <c r="F252" s="61"/>
      <c r="G252" s="58"/>
      <c r="H252" s="62">
        <v>5</v>
      </c>
      <c r="I252" s="60" t="s">
        <v>88</v>
      </c>
      <c r="J252" s="42">
        <v>7</v>
      </c>
      <c r="K252" s="41">
        <v>2025</v>
      </c>
    </row>
    <row r="253" spans="1:11" hidden="1" x14ac:dyDescent="0.25">
      <c r="A253" s="58">
        <v>45839</v>
      </c>
      <c r="B253" s="59"/>
      <c r="C253" s="59" t="s">
        <v>18</v>
      </c>
      <c r="D253" s="60" t="s">
        <v>19</v>
      </c>
      <c r="E253" s="61">
        <v>3</v>
      </c>
      <c r="F253" s="61">
        <v>3</v>
      </c>
      <c r="G253" s="58">
        <v>45856</v>
      </c>
      <c r="H253" s="62">
        <v>0</v>
      </c>
      <c r="I253" s="60" t="s">
        <v>286</v>
      </c>
      <c r="J253" s="42">
        <v>7</v>
      </c>
      <c r="K253" s="41">
        <v>2025</v>
      </c>
    </row>
    <row r="254" spans="1:11" hidden="1" x14ac:dyDescent="0.25">
      <c r="A254" s="58">
        <v>45854</v>
      </c>
      <c r="B254" s="59"/>
      <c r="C254" s="59" t="str">
        <f>IFERROR(VLOOKUP(D254,'CODIGOS ACTIVOS'!A:E,2,0), "NUEVO")</f>
        <v>NUEVO</v>
      </c>
      <c r="D254" s="60" t="s">
        <v>287</v>
      </c>
      <c r="E254" s="61">
        <v>4</v>
      </c>
      <c r="F254" s="61">
        <v>4</v>
      </c>
      <c r="G254" s="58">
        <v>45923</v>
      </c>
      <c r="H254" s="62">
        <v>0</v>
      </c>
      <c r="I254" s="60" t="s">
        <v>274</v>
      </c>
      <c r="J254" s="42">
        <v>6</v>
      </c>
      <c r="K254" s="41">
        <v>2025</v>
      </c>
    </row>
    <row r="255" spans="1:11" hidden="1" x14ac:dyDescent="0.25">
      <c r="A255" s="58">
        <v>45875</v>
      </c>
      <c r="B255" s="59" t="s">
        <v>251</v>
      </c>
      <c r="C255" s="59" t="str">
        <f>IFERROR(VLOOKUP(D255,'CODIGOS ACTIVOS'!A:E,2,0), "NUEVO")</f>
        <v>A258988</v>
      </c>
      <c r="D255" s="60" t="s">
        <v>25</v>
      </c>
      <c r="E255" s="61">
        <v>1</v>
      </c>
      <c r="F255" s="61"/>
      <c r="G255" s="58"/>
      <c r="H255" s="62">
        <v>0</v>
      </c>
      <c r="I255" s="60" t="s">
        <v>88</v>
      </c>
      <c r="J255" s="42">
        <v>6</v>
      </c>
      <c r="K255" s="41">
        <v>2025</v>
      </c>
    </row>
    <row r="256" spans="1:11" hidden="1" x14ac:dyDescent="0.25">
      <c r="A256" s="58">
        <v>45875</v>
      </c>
      <c r="B256" s="59"/>
      <c r="C256" s="59" t="s">
        <v>231</v>
      </c>
      <c r="D256" s="60" t="s">
        <v>288</v>
      </c>
      <c r="E256" s="61">
        <v>5</v>
      </c>
      <c r="F256" s="61">
        <v>5</v>
      </c>
      <c r="G256" s="58">
        <v>45904</v>
      </c>
      <c r="H256" s="62">
        <v>0</v>
      </c>
      <c r="I256" s="60" t="s">
        <v>289</v>
      </c>
      <c r="J256" s="42">
        <v>6</v>
      </c>
      <c r="K256" s="41">
        <v>2025</v>
      </c>
    </row>
    <row r="257" spans="1:12" hidden="1" x14ac:dyDescent="0.25">
      <c r="A257" s="58">
        <v>45875</v>
      </c>
      <c r="B257" s="59" t="s">
        <v>251</v>
      </c>
      <c r="C257" s="59" t="s">
        <v>1451</v>
      </c>
      <c r="D257" s="60" t="s">
        <v>290</v>
      </c>
      <c r="E257" s="61">
        <v>1</v>
      </c>
      <c r="F257" s="61"/>
      <c r="G257" s="58"/>
      <c r="H257" s="62">
        <v>0</v>
      </c>
      <c r="I257" s="60" t="s">
        <v>291</v>
      </c>
      <c r="J257" s="42">
        <v>6</v>
      </c>
      <c r="K257" s="41">
        <v>2025</v>
      </c>
    </row>
    <row r="258" spans="1:12" hidden="1" x14ac:dyDescent="0.25">
      <c r="A258" s="58">
        <v>45875</v>
      </c>
      <c r="B258" s="59" t="s">
        <v>251</v>
      </c>
      <c r="C258" s="59" t="str">
        <f>IFERROR(VLOOKUP(D258,'CODIGOS ACTIVOS'!A:E,2,0), "NUEVO")</f>
        <v>Q250003</v>
      </c>
      <c r="D258" s="60" t="s">
        <v>47</v>
      </c>
      <c r="E258" s="61">
        <v>4</v>
      </c>
      <c r="F258" s="61"/>
      <c r="G258" s="58"/>
      <c r="H258" s="62">
        <v>0</v>
      </c>
      <c r="I258" s="60" t="s">
        <v>292</v>
      </c>
      <c r="J258" s="42">
        <v>6</v>
      </c>
      <c r="K258" s="41">
        <v>2025</v>
      </c>
    </row>
    <row r="259" spans="1:12" hidden="1" x14ac:dyDescent="0.25">
      <c r="A259" s="58">
        <v>45875</v>
      </c>
      <c r="B259" s="59" t="s">
        <v>251</v>
      </c>
      <c r="C259" s="59" t="s">
        <v>14</v>
      </c>
      <c r="D259" s="60" t="s">
        <v>293</v>
      </c>
      <c r="E259" s="61">
        <v>3</v>
      </c>
      <c r="F259" s="61"/>
      <c r="G259" s="58"/>
      <c r="H259" s="62">
        <v>0</v>
      </c>
      <c r="I259" s="60" t="s">
        <v>294</v>
      </c>
      <c r="J259" s="42">
        <v>6</v>
      </c>
      <c r="K259" s="41">
        <v>2025</v>
      </c>
    </row>
    <row r="260" spans="1:12" hidden="1" x14ac:dyDescent="0.25">
      <c r="A260" s="58">
        <v>45875</v>
      </c>
      <c r="B260" s="59" t="s">
        <v>251</v>
      </c>
      <c r="C260" s="59" t="s">
        <v>38</v>
      </c>
      <c r="D260" s="60" t="s">
        <v>295</v>
      </c>
      <c r="E260" s="61">
        <v>10</v>
      </c>
      <c r="F260" s="61"/>
      <c r="G260" s="58"/>
      <c r="H260" s="62">
        <v>0</v>
      </c>
      <c r="I260" s="60" t="s">
        <v>296</v>
      </c>
      <c r="J260" s="42">
        <v>6</v>
      </c>
      <c r="K260" s="41">
        <v>2025</v>
      </c>
    </row>
    <row r="261" spans="1:12" hidden="1" x14ac:dyDescent="0.25">
      <c r="A261" s="58">
        <v>45875</v>
      </c>
      <c r="B261" s="59" t="s">
        <v>251</v>
      </c>
      <c r="C261" s="59" t="s">
        <v>38</v>
      </c>
      <c r="D261" s="60" t="s">
        <v>297</v>
      </c>
      <c r="E261" s="61">
        <v>10</v>
      </c>
      <c r="F261" s="61"/>
      <c r="G261" s="58"/>
      <c r="H261" s="62">
        <v>0</v>
      </c>
      <c r="I261" s="60" t="s">
        <v>298</v>
      </c>
      <c r="J261" s="42">
        <v>6</v>
      </c>
      <c r="K261" s="41">
        <v>2025</v>
      </c>
    </row>
    <row r="262" spans="1:12" hidden="1" x14ac:dyDescent="0.25">
      <c r="A262" s="58">
        <v>45875</v>
      </c>
      <c r="B262" s="59" t="s">
        <v>251</v>
      </c>
      <c r="C262" s="59" t="str">
        <f>IFERROR(VLOOKUP(D262,'CODIGOS ACTIVOS'!A:E,2,0), "NUEVO")</f>
        <v>NUEVO</v>
      </c>
      <c r="D262" s="60" t="s">
        <v>299</v>
      </c>
      <c r="E262" s="61">
        <v>2</v>
      </c>
      <c r="F262" s="61"/>
      <c r="G262" s="58"/>
      <c r="H262" s="62">
        <v>0</v>
      </c>
      <c r="I262" s="60" t="s">
        <v>142</v>
      </c>
      <c r="J262" s="42">
        <v>6</v>
      </c>
      <c r="K262" s="41">
        <v>2025</v>
      </c>
    </row>
    <row r="263" spans="1:12" hidden="1" x14ac:dyDescent="0.25">
      <c r="A263" s="58">
        <v>45875</v>
      </c>
      <c r="B263" s="59"/>
      <c r="C263" s="59" t="str">
        <f>IFERROR(VLOOKUP(D263,'CODIGOS ACTIVOS'!A:E,2,0), "NUEVO")</f>
        <v>Q252931</v>
      </c>
      <c r="D263" s="60" t="s">
        <v>300</v>
      </c>
      <c r="E263" s="61">
        <v>2</v>
      </c>
      <c r="F263" s="61">
        <v>2</v>
      </c>
      <c r="G263" s="58">
        <v>45911</v>
      </c>
      <c r="H263" s="62">
        <v>0</v>
      </c>
      <c r="I263" s="60" t="s">
        <v>301</v>
      </c>
      <c r="J263" s="42">
        <v>6</v>
      </c>
      <c r="K263" s="41">
        <v>2025</v>
      </c>
    </row>
    <row r="264" spans="1:12" hidden="1" x14ac:dyDescent="0.25">
      <c r="A264" s="58">
        <v>45875</v>
      </c>
      <c r="B264" s="59" t="s">
        <v>251</v>
      </c>
      <c r="C264" s="59"/>
      <c r="D264" s="60" t="s">
        <v>302</v>
      </c>
      <c r="E264" s="61">
        <v>2</v>
      </c>
      <c r="F264" s="61"/>
      <c r="G264" s="58"/>
      <c r="H264" s="62">
        <v>0</v>
      </c>
      <c r="I264" s="60" t="s">
        <v>303</v>
      </c>
      <c r="J264" s="42">
        <v>6</v>
      </c>
      <c r="K264" s="41">
        <v>2025</v>
      </c>
    </row>
    <row r="265" spans="1:12" hidden="1" x14ac:dyDescent="0.25">
      <c r="A265" s="58">
        <v>45875</v>
      </c>
      <c r="B265" s="59" t="s">
        <v>251</v>
      </c>
      <c r="C265" s="59" t="str">
        <f>IFERROR(VLOOKUP(D265,'CODIGOS ACTIVOS'!A:E,2,0), "NUEVO")</f>
        <v>NUEVO</v>
      </c>
      <c r="D265" s="60" t="s">
        <v>304</v>
      </c>
      <c r="E265" s="61">
        <v>3</v>
      </c>
      <c r="F265" s="61"/>
      <c r="G265" s="58"/>
      <c r="H265" s="62">
        <v>0</v>
      </c>
      <c r="I265" s="60" t="s">
        <v>305</v>
      </c>
      <c r="J265" s="42">
        <v>6</v>
      </c>
      <c r="K265" s="41">
        <v>2025</v>
      </c>
    </row>
    <row r="266" spans="1:12" hidden="1" x14ac:dyDescent="0.25">
      <c r="A266" s="58">
        <v>45877</v>
      </c>
      <c r="B266" s="59"/>
      <c r="C266" s="59" t="str">
        <f>IFERROR(VLOOKUP(D266,'CODIGOS ACTIVOS'!A:E,2,0), "NUEVO")</f>
        <v>NUEVO</v>
      </c>
      <c r="D266" s="60" t="s">
        <v>306</v>
      </c>
      <c r="E266" s="61">
        <v>10</v>
      </c>
      <c r="F266" s="61">
        <v>10</v>
      </c>
      <c r="G266" s="58">
        <v>45890</v>
      </c>
      <c r="H266" s="62">
        <v>0</v>
      </c>
      <c r="I266" s="60" t="s">
        <v>253</v>
      </c>
      <c r="J266" s="42">
        <v>6</v>
      </c>
      <c r="K266" s="41">
        <v>2025</v>
      </c>
      <c r="L266" t="s">
        <v>307</v>
      </c>
    </row>
    <row r="267" spans="1:12" hidden="1" x14ac:dyDescent="0.25">
      <c r="A267" s="58">
        <v>45896</v>
      </c>
      <c r="B267" s="59" t="s">
        <v>308</v>
      </c>
      <c r="C267" s="59" t="str">
        <f>IFERROR(VLOOKUP(D267,'CODIGOS ACTIVOS'!A:E,2,0), "NUEVO")</f>
        <v>NUEVO</v>
      </c>
      <c r="D267" s="60" t="s">
        <v>252</v>
      </c>
      <c r="E267" s="61">
        <v>30</v>
      </c>
      <c r="F267" s="61">
        <v>10</v>
      </c>
      <c r="G267" s="58">
        <v>45929</v>
      </c>
      <c r="H267" s="62"/>
      <c r="I267" s="60" t="s">
        <v>253</v>
      </c>
      <c r="J267" s="42">
        <f t="shared" ref="J267:J322" si="0">MONTH(A267)</f>
        <v>8</v>
      </c>
      <c r="K267" s="41"/>
    </row>
    <row r="268" spans="1:12" hidden="1" x14ac:dyDescent="0.25">
      <c r="A268" s="58">
        <v>45904</v>
      </c>
      <c r="B268" s="59"/>
      <c r="C268" s="59" t="s">
        <v>231</v>
      </c>
      <c r="D268" s="60" t="s">
        <v>288</v>
      </c>
      <c r="E268" s="61">
        <v>10</v>
      </c>
      <c r="F268" s="61">
        <v>10</v>
      </c>
      <c r="G268" s="58">
        <v>45918</v>
      </c>
      <c r="H268" s="62"/>
      <c r="I268" s="60"/>
      <c r="J268" s="42">
        <f t="shared" si="0"/>
        <v>9</v>
      </c>
      <c r="K268" s="41"/>
    </row>
    <row r="269" spans="1:12" hidden="1" x14ac:dyDescent="0.25">
      <c r="A269" s="58">
        <v>45904</v>
      </c>
      <c r="B269" s="59"/>
      <c r="C269" s="59" t="str">
        <f>IFERROR(VLOOKUP(D269,'CODIGOS ACTIVOS'!A:E,2,0), "NUEVO")</f>
        <v>Q252772</v>
      </c>
      <c r="D269" s="60" t="s">
        <v>309</v>
      </c>
      <c r="E269" s="61">
        <v>20</v>
      </c>
      <c r="F269" s="61">
        <v>20</v>
      </c>
      <c r="G269" s="58">
        <v>45915</v>
      </c>
      <c r="H269" s="62">
        <f>E269-F269</f>
        <v>0</v>
      </c>
      <c r="I269" s="60" t="s">
        <v>310</v>
      </c>
      <c r="J269" s="42">
        <f t="shared" si="0"/>
        <v>9</v>
      </c>
      <c r="K269" s="41"/>
    </row>
    <row r="270" spans="1:12" hidden="1" x14ac:dyDescent="0.25">
      <c r="A270" s="58">
        <v>45904</v>
      </c>
      <c r="B270" s="59"/>
      <c r="C270" s="59" t="str">
        <f>IFERROR(VLOOKUP(D270,'CODIGOS ACTIVOS'!A:E,2,0), "NUEVO")</f>
        <v>Q250003</v>
      </c>
      <c r="D270" s="60" t="s">
        <v>47</v>
      </c>
      <c r="E270" s="61">
        <v>4</v>
      </c>
      <c r="F270" s="61">
        <v>4</v>
      </c>
      <c r="G270" s="58">
        <v>45918</v>
      </c>
      <c r="H270" s="62"/>
      <c r="I270" s="60"/>
      <c r="J270" s="42">
        <f t="shared" si="0"/>
        <v>9</v>
      </c>
      <c r="K270" s="41"/>
    </row>
    <row r="271" spans="1:12" hidden="1" x14ac:dyDescent="0.25">
      <c r="A271" s="58">
        <v>45904</v>
      </c>
      <c r="B271" s="59"/>
      <c r="C271" s="59" t="str">
        <f>IFERROR(VLOOKUP(D271,'CODIGOS ACTIVOS'!A:E,2,0), "NUEVO")</f>
        <v>A251139</v>
      </c>
      <c r="D271" s="60" t="s">
        <v>30</v>
      </c>
      <c r="E271" s="61">
        <v>5</v>
      </c>
      <c r="F271" s="61">
        <v>5</v>
      </c>
      <c r="G271" s="58">
        <v>45918</v>
      </c>
      <c r="H271" s="62"/>
      <c r="I271" s="60"/>
      <c r="J271" s="42">
        <f t="shared" si="0"/>
        <v>9</v>
      </c>
      <c r="K271" s="41"/>
    </row>
    <row r="272" spans="1:12" hidden="1" x14ac:dyDescent="0.25">
      <c r="A272" s="58">
        <v>45904</v>
      </c>
      <c r="B272" s="59"/>
      <c r="C272" s="59" t="str">
        <f>IFERROR(VLOOKUP(D272,'CODIGOS ACTIVOS'!A:E,2,0), "NUEVO")</f>
        <v>A250013</v>
      </c>
      <c r="D272" s="60" t="s">
        <v>85</v>
      </c>
      <c r="E272" s="61">
        <v>2</v>
      </c>
      <c r="F272" s="61">
        <v>2</v>
      </c>
      <c r="G272" s="58">
        <v>45918</v>
      </c>
      <c r="H272" s="62"/>
      <c r="I272" s="60"/>
      <c r="J272" s="42">
        <f t="shared" si="0"/>
        <v>9</v>
      </c>
      <c r="K272" s="41"/>
    </row>
    <row r="273" spans="1:11" hidden="1" x14ac:dyDescent="0.25">
      <c r="A273" s="58">
        <v>45904</v>
      </c>
      <c r="B273" s="59" t="s">
        <v>251</v>
      </c>
      <c r="C273" s="59" t="str">
        <f>IFERROR(VLOOKUP(D273,'CODIGOS ACTIVOS'!A:E,2,0), "NUEVO")</f>
        <v>A250071</v>
      </c>
      <c r="D273" s="60" t="s">
        <v>311</v>
      </c>
      <c r="E273" s="61">
        <v>2</v>
      </c>
      <c r="F273" s="61"/>
      <c r="G273" s="58"/>
      <c r="H273" s="62"/>
      <c r="I273" s="60"/>
      <c r="J273" s="42">
        <f t="shared" si="0"/>
        <v>9</v>
      </c>
      <c r="K273" s="41"/>
    </row>
    <row r="274" spans="1:11" hidden="1" x14ac:dyDescent="0.25">
      <c r="A274" s="58">
        <v>45904</v>
      </c>
      <c r="B274" s="59" t="s">
        <v>251</v>
      </c>
      <c r="C274" s="59" t="str">
        <f>IFERROR(VLOOKUP(D274,'CODIGOS ACTIVOS'!A:E,2,0), "NUEVO")</f>
        <v>NUEVO</v>
      </c>
      <c r="D274" s="60" t="s">
        <v>32</v>
      </c>
      <c r="E274" s="61">
        <v>1</v>
      </c>
      <c r="F274" s="61"/>
      <c r="G274" s="58"/>
      <c r="H274" s="62"/>
      <c r="I274" s="60"/>
      <c r="J274" s="42">
        <f t="shared" si="0"/>
        <v>9</v>
      </c>
      <c r="K274" s="41"/>
    </row>
    <row r="275" spans="1:11" hidden="1" x14ac:dyDescent="0.25">
      <c r="A275" s="58">
        <v>45904</v>
      </c>
      <c r="B275" s="59"/>
      <c r="C275" s="59" t="s">
        <v>81</v>
      </c>
      <c r="D275" s="60" t="s">
        <v>313</v>
      </c>
      <c r="E275" s="61">
        <v>4</v>
      </c>
      <c r="F275" s="61">
        <v>4</v>
      </c>
      <c r="G275" s="58">
        <v>45918</v>
      </c>
      <c r="H275" s="62"/>
      <c r="I275" s="60"/>
      <c r="J275" s="42">
        <f t="shared" si="0"/>
        <v>9</v>
      </c>
      <c r="K275" s="41"/>
    </row>
    <row r="276" spans="1:11" hidden="1" x14ac:dyDescent="0.25">
      <c r="A276" s="58">
        <v>45933</v>
      </c>
      <c r="B276" s="59"/>
      <c r="C276" s="59" t="str">
        <f>IFERROR(VLOOKUP(D276,'CODIGOS ACTIVOS'!A:E,2,0), "NUEVO")</f>
        <v>NUEVO</v>
      </c>
      <c r="D276" s="60" t="s">
        <v>314</v>
      </c>
      <c r="E276" s="61">
        <v>4</v>
      </c>
      <c r="F276" s="61"/>
      <c r="G276" s="58"/>
      <c r="H276" s="62"/>
      <c r="I276" s="60" t="s">
        <v>315</v>
      </c>
      <c r="J276" s="42">
        <f t="shared" si="0"/>
        <v>10</v>
      </c>
      <c r="K276" s="41"/>
    </row>
    <row r="277" spans="1:11" hidden="1" x14ac:dyDescent="0.25">
      <c r="A277" s="58">
        <v>45933</v>
      </c>
      <c r="B277" s="59"/>
      <c r="C277" s="59" t="str">
        <f>IFERROR(VLOOKUP(D277,'CODIGOS ACTIVOS'!A:E,2,0), "NUEVO")</f>
        <v>NUEVO</v>
      </c>
      <c r="D277" s="60" t="s">
        <v>316</v>
      </c>
      <c r="E277" s="61">
        <v>3</v>
      </c>
      <c r="F277" s="61"/>
      <c r="G277" s="58"/>
      <c r="H277" s="62"/>
      <c r="I277" s="60" t="s">
        <v>315</v>
      </c>
      <c r="J277" s="42">
        <f t="shared" si="0"/>
        <v>10</v>
      </c>
      <c r="K277" s="41"/>
    </row>
    <row r="278" spans="1:11" hidden="1" x14ac:dyDescent="0.25">
      <c r="A278" s="58">
        <v>45933</v>
      </c>
      <c r="B278" s="59" t="s">
        <v>308</v>
      </c>
      <c r="C278" s="59" t="s">
        <v>24</v>
      </c>
      <c r="D278" s="60" t="s">
        <v>25</v>
      </c>
      <c r="E278" s="61">
        <v>2</v>
      </c>
      <c r="F278" s="61">
        <v>2</v>
      </c>
      <c r="G278" s="58">
        <v>45957</v>
      </c>
      <c r="H278" s="62">
        <v>0</v>
      </c>
      <c r="I278" s="60" t="s">
        <v>88</v>
      </c>
      <c r="J278" s="42">
        <f t="shared" si="0"/>
        <v>10</v>
      </c>
      <c r="K278" s="41">
        <v>2025</v>
      </c>
    </row>
    <row r="279" spans="1:11" hidden="1" x14ac:dyDescent="0.25">
      <c r="A279" s="58">
        <v>45933</v>
      </c>
      <c r="B279" s="59" t="s">
        <v>308</v>
      </c>
      <c r="C279" s="59" t="s">
        <v>1451</v>
      </c>
      <c r="D279" s="60" t="s">
        <v>290</v>
      </c>
      <c r="E279" s="61">
        <v>1</v>
      </c>
      <c r="F279" s="61">
        <v>1</v>
      </c>
      <c r="G279" s="58">
        <v>46044</v>
      </c>
      <c r="H279" s="62">
        <v>0</v>
      </c>
      <c r="I279" s="60" t="s">
        <v>291</v>
      </c>
      <c r="J279" s="42">
        <f t="shared" si="0"/>
        <v>10</v>
      </c>
      <c r="K279" s="41"/>
    </row>
    <row r="280" spans="1:11" hidden="1" x14ac:dyDescent="0.25">
      <c r="A280" s="58">
        <v>45933</v>
      </c>
      <c r="B280" s="59" t="s">
        <v>308</v>
      </c>
      <c r="C280" s="59" t="s">
        <v>46</v>
      </c>
      <c r="D280" s="60" t="s">
        <v>47</v>
      </c>
      <c r="E280" s="61">
        <v>4</v>
      </c>
      <c r="F280" s="61">
        <v>4</v>
      </c>
      <c r="G280" s="58">
        <v>45960</v>
      </c>
      <c r="H280" s="62">
        <v>0</v>
      </c>
      <c r="I280" s="60" t="s">
        <v>292</v>
      </c>
      <c r="J280" s="42">
        <f t="shared" si="0"/>
        <v>10</v>
      </c>
      <c r="K280" s="41"/>
    </row>
    <row r="281" spans="1:11" hidden="1" x14ac:dyDescent="0.25">
      <c r="A281" s="58">
        <v>45933</v>
      </c>
      <c r="B281" s="59" t="s">
        <v>308</v>
      </c>
      <c r="C281" s="59" t="s">
        <v>14</v>
      </c>
      <c r="D281" s="60" t="s">
        <v>293</v>
      </c>
      <c r="E281" s="61">
        <v>3</v>
      </c>
      <c r="F281" s="61">
        <v>3</v>
      </c>
      <c r="G281" s="58">
        <v>46044</v>
      </c>
      <c r="H281" s="62">
        <f>E281-F281</f>
        <v>0</v>
      </c>
      <c r="I281" s="60" t="s">
        <v>294</v>
      </c>
      <c r="J281" s="42">
        <f t="shared" si="0"/>
        <v>10</v>
      </c>
      <c r="K281" s="41"/>
    </row>
    <row r="282" spans="1:11" hidden="1" x14ac:dyDescent="0.25">
      <c r="A282" s="58">
        <v>45933</v>
      </c>
      <c r="B282" s="59" t="s">
        <v>308</v>
      </c>
      <c r="C282" s="59" t="s">
        <v>38</v>
      </c>
      <c r="D282" s="60" t="s">
        <v>295</v>
      </c>
      <c r="E282" s="61">
        <v>10</v>
      </c>
      <c r="F282" s="61"/>
      <c r="G282" s="58"/>
      <c r="H282" s="62">
        <v>0</v>
      </c>
      <c r="I282" s="60" t="s">
        <v>296</v>
      </c>
      <c r="J282" s="42">
        <f t="shared" si="0"/>
        <v>10</v>
      </c>
      <c r="K282" s="41"/>
    </row>
    <row r="283" spans="1:11" hidden="1" x14ac:dyDescent="0.25">
      <c r="A283" s="58">
        <v>45933</v>
      </c>
      <c r="B283" s="59" t="s">
        <v>308</v>
      </c>
      <c r="C283" s="59" t="s">
        <v>38</v>
      </c>
      <c r="D283" s="60" t="s">
        <v>297</v>
      </c>
      <c r="E283" s="61">
        <v>10</v>
      </c>
      <c r="F283" s="61">
        <v>10</v>
      </c>
      <c r="G283" s="58">
        <v>46044</v>
      </c>
      <c r="H283" s="62">
        <v>0</v>
      </c>
      <c r="I283" s="60" t="s">
        <v>298</v>
      </c>
      <c r="J283" s="42">
        <f t="shared" si="0"/>
        <v>10</v>
      </c>
      <c r="K283" s="41"/>
    </row>
    <row r="284" spans="1:11" hidden="1" x14ac:dyDescent="0.25">
      <c r="A284" s="58">
        <v>45933</v>
      </c>
      <c r="B284" s="59" t="s">
        <v>308</v>
      </c>
      <c r="C284" s="59" t="s">
        <v>14</v>
      </c>
      <c r="D284" s="60" t="s">
        <v>299</v>
      </c>
      <c r="E284" s="61">
        <v>2</v>
      </c>
      <c r="F284" s="61"/>
      <c r="G284" s="58"/>
      <c r="H284" s="62">
        <v>0</v>
      </c>
      <c r="I284" s="60" t="s">
        <v>142</v>
      </c>
      <c r="J284" s="42">
        <f t="shared" si="0"/>
        <v>10</v>
      </c>
      <c r="K284" s="41"/>
    </row>
    <row r="285" spans="1:11" hidden="1" x14ac:dyDescent="0.25">
      <c r="A285" s="58">
        <v>45933</v>
      </c>
      <c r="B285" s="59"/>
      <c r="C285" s="59" t="s">
        <v>317</v>
      </c>
      <c r="D285" s="60" t="s">
        <v>300</v>
      </c>
      <c r="E285" s="61">
        <v>1</v>
      </c>
      <c r="F285" s="61">
        <v>1</v>
      </c>
      <c r="G285" s="58">
        <v>45960</v>
      </c>
      <c r="H285" s="62">
        <v>0</v>
      </c>
      <c r="I285" s="60" t="s">
        <v>318</v>
      </c>
      <c r="J285" s="42">
        <f t="shared" si="0"/>
        <v>10</v>
      </c>
      <c r="K285" s="41"/>
    </row>
    <row r="286" spans="1:11" hidden="1" x14ac:dyDescent="0.25">
      <c r="A286" s="58">
        <v>45933</v>
      </c>
      <c r="B286" s="59" t="s">
        <v>308</v>
      </c>
      <c r="C286" s="59"/>
      <c r="D286" s="60" t="s">
        <v>302</v>
      </c>
      <c r="E286" s="61">
        <v>2</v>
      </c>
      <c r="F286" s="61"/>
      <c r="G286" s="58"/>
      <c r="H286" s="62">
        <v>0</v>
      </c>
      <c r="I286" s="60" t="s">
        <v>303</v>
      </c>
      <c r="J286" s="42">
        <f t="shared" si="0"/>
        <v>10</v>
      </c>
      <c r="K286" s="41"/>
    </row>
    <row r="287" spans="1:11" hidden="1" x14ac:dyDescent="0.25">
      <c r="A287" s="58">
        <v>45933</v>
      </c>
      <c r="B287" s="59" t="s">
        <v>308</v>
      </c>
      <c r="C287" s="59" t="s">
        <v>14</v>
      </c>
      <c r="D287" s="60" t="s">
        <v>304</v>
      </c>
      <c r="E287" s="61">
        <v>3</v>
      </c>
      <c r="F287" s="61"/>
      <c r="G287" s="58"/>
      <c r="H287" s="62">
        <v>0</v>
      </c>
      <c r="I287" s="60" t="s">
        <v>305</v>
      </c>
      <c r="J287" s="42">
        <f t="shared" si="0"/>
        <v>10</v>
      </c>
      <c r="K287" s="41"/>
    </row>
    <row r="288" spans="1:11" hidden="1" x14ac:dyDescent="0.25">
      <c r="A288" s="58">
        <v>45933</v>
      </c>
      <c r="B288" s="59" t="s">
        <v>308</v>
      </c>
      <c r="C288" s="59" t="str">
        <f>IFERROR(VLOOKUP(D288,'CODIGOS ACTIVOS'!A:E,2,0), "NUEVO")</f>
        <v>NUEVO</v>
      </c>
      <c r="D288" s="60" t="s">
        <v>319</v>
      </c>
      <c r="E288" s="61">
        <v>5</v>
      </c>
      <c r="F288" s="61"/>
      <c r="G288" s="58"/>
      <c r="H288" s="62">
        <v>0</v>
      </c>
      <c r="I288" s="60" t="s">
        <v>320</v>
      </c>
      <c r="J288" s="42">
        <f t="shared" si="0"/>
        <v>10</v>
      </c>
      <c r="K288" s="41"/>
    </row>
    <row r="289" spans="1:11" hidden="1" x14ac:dyDescent="0.25">
      <c r="A289" s="58">
        <v>45933</v>
      </c>
      <c r="B289" s="59" t="s">
        <v>308</v>
      </c>
      <c r="C289" s="59" t="str">
        <f>IFERROR(VLOOKUP(D289,'CODIGOS ACTIVOS'!A:E,2,0), "NUEVO")</f>
        <v>NUEVO</v>
      </c>
      <c r="D289" s="60" t="s">
        <v>321</v>
      </c>
      <c r="E289" s="61">
        <v>2</v>
      </c>
      <c r="F289" s="61"/>
      <c r="G289" s="58"/>
      <c r="H289" s="62">
        <v>0</v>
      </c>
      <c r="I289" s="60" t="s">
        <v>320</v>
      </c>
      <c r="J289" s="42">
        <f t="shared" si="0"/>
        <v>10</v>
      </c>
      <c r="K289" s="41"/>
    </row>
    <row r="290" spans="1:11" hidden="1" x14ac:dyDescent="0.25">
      <c r="A290" s="58">
        <v>45933</v>
      </c>
      <c r="B290" s="59"/>
      <c r="C290" s="59" t="str">
        <f>IFERROR(VLOOKUP(D290,'CODIGOS ACTIVOS'!A:E,2,0), "NUEVO")</f>
        <v>NUEVO</v>
      </c>
      <c r="D290" s="60" t="s">
        <v>129</v>
      </c>
      <c r="E290" s="61">
        <v>1</v>
      </c>
      <c r="F290" s="61">
        <v>1</v>
      </c>
      <c r="G290" s="58">
        <v>46058</v>
      </c>
      <c r="H290" s="62">
        <v>0</v>
      </c>
      <c r="I290" s="60" t="s">
        <v>322</v>
      </c>
      <c r="J290" s="42">
        <f t="shared" si="0"/>
        <v>10</v>
      </c>
      <c r="K290" s="41"/>
    </row>
    <row r="291" spans="1:11" hidden="1" x14ac:dyDescent="0.25">
      <c r="A291" s="58">
        <v>45933</v>
      </c>
      <c r="B291" s="59"/>
      <c r="C291" s="59" t="s">
        <v>14</v>
      </c>
      <c r="D291" s="60" t="s">
        <v>275</v>
      </c>
      <c r="E291" s="61">
        <v>1</v>
      </c>
      <c r="F291" s="61">
        <v>1</v>
      </c>
      <c r="G291" s="58">
        <v>46058</v>
      </c>
      <c r="H291" s="62">
        <v>0</v>
      </c>
      <c r="I291" s="60" t="s">
        <v>322</v>
      </c>
      <c r="J291" s="42">
        <f t="shared" si="0"/>
        <v>10</v>
      </c>
      <c r="K291" s="41"/>
    </row>
    <row r="292" spans="1:11" hidden="1" x14ac:dyDescent="0.25">
      <c r="A292" s="58">
        <v>45933</v>
      </c>
      <c r="B292" s="59"/>
      <c r="C292" s="59" t="s">
        <v>231</v>
      </c>
      <c r="D292" s="60" t="s">
        <v>323</v>
      </c>
      <c r="E292" s="61">
        <v>5</v>
      </c>
      <c r="F292" s="61">
        <v>5</v>
      </c>
      <c r="G292" s="58">
        <v>45960</v>
      </c>
      <c r="H292" s="62">
        <v>0</v>
      </c>
      <c r="I292" s="60" t="s">
        <v>324</v>
      </c>
      <c r="J292" s="42">
        <f t="shared" si="0"/>
        <v>10</v>
      </c>
      <c r="K292" s="41"/>
    </row>
    <row r="293" spans="1:11" hidden="1" x14ac:dyDescent="0.25">
      <c r="A293" s="58">
        <v>45933</v>
      </c>
      <c r="B293" s="59"/>
      <c r="C293" s="59" t="str">
        <f>IFERROR(VLOOKUP(D293,'CODIGOS ACTIVOS'!A:E,2,0), "NUEVO")</f>
        <v>Q250003</v>
      </c>
      <c r="D293" s="60" t="s">
        <v>47</v>
      </c>
      <c r="E293" s="61">
        <v>3</v>
      </c>
      <c r="F293" s="61">
        <v>3</v>
      </c>
      <c r="G293" s="58">
        <v>45960</v>
      </c>
      <c r="H293" s="62">
        <v>0</v>
      </c>
      <c r="I293" s="60"/>
      <c r="J293" s="42">
        <f t="shared" si="0"/>
        <v>10</v>
      </c>
      <c r="K293" s="41"/>
    </row>
    <row r="294" spans="1:11" hidden="1" x14ac:dyDescent="0.25">
      <c r="A294" s="58">
        <v>45933</v>
      </c>
      <c r="B294" s="59"/>
      <c r="C294" s="59" t="str">
        <f>IFERROR(VLOOKUP(D294,'CODIGOS ACTIVOS'!A:E,2,0), "NUEVO")</f>
        <v>A250013</v>
      </c>
      <c r="D294" s="60" t="s">
        <v>85</v>
      </c>
      <c r="E294" s="61">
        <v>4</v>
      </c>
      <c r="F294" s="61">
        <v>4</v>
      </c>
      <c r="G294" s="58">
        <v>45960</v>
      </c>
      <c r="H294" s="62">
        <v>0</v>
      </c>
      <c r="I294" s="60" t="s">
        <v>325</v>
      </c>
      <c r="J294" s="42">
        <f t="shared" si="0"/>
        <v>10</v>
      </c>
      <c r="K294" s="41"/>
    </row>
    <row r="295" spans="1:11" hidden="1" x14ac:dyDescent="0.25">
      <c r="A295" s="58">
        <v>45933</v>
      </c>
      <c r="B295" s="59"/>
      <c r="C295" s="59" t="s">
        <v>81</v>
      </c>
      <c r="D295" s="60" t="s">
        <v>326</v>
      </c>
      <c r="E295" s="61">
        <v>4</v>
      </c>
      <c r="F295" s="61">
        <v>4</v>
      </c>
      <c r="G295" s="58">
        <v>45960</v>
      </c>
      <c r="H295" s="62">
        <v>0</v>
      </c>
      <c r="I295" s="60" t="s">
        <v>327</v>
      </c>
      <c r="J295" s="42">
        <f t="shared" si="0"/>
        <v>10</v>
      </c>
      <c r="K295" s="41"/>
    </row>
    <row r="296" spans="1:11" hidden="1" x14ac:dyDescent="0.25">
      <c r="A296" s="58">
        <v>45933</v>
      </c>
      <c r="B296" s="59"/>
      <c r="C296" s="59"/>
      <c r="D296" s="60" t="s">
        <v>328</v>
      </c>
      <c r="E296" s="61">
        <v>1</v>
      </c>
      <c r="F296" s="61"/>
      <c r="G296" s="58"/>
      <c r="H296" s="62">
        <v>0</v>
      </c>
      <c r="I296" s="60"/>
      <c r="J296" s="42">
        <f t="shared" si="0"/>
        <v>10</v>
      </c>
      <c r="K296" s="41"/>
    </row>
    <row r="297" spans="1:11" hidden="1" x14ac:dyDescent="0.25">
      <c r="A297" s="58">
        <v>45933</v>
      </c>
      <c r="B297" s="59" t="s">
        <v>308</v>
      </c>
      <c r="C297" s="59" t="str">
        <f>IFERROR(VLOOKUP(D297,'CODIGOS ACTIVOS'!A:E,2,0), "NUEVO")</f>
        <v>A250071</v>
      </c>
      <c r="D297" s="60" t="s">
        <v>311</v>
      </c>
      <c r="E297" s="61">
        <v>2</v>
      </c>
      <c r="F297" s="61">
        <v>2</v>
      </c>
      <c r="G297" s="58">
        <v>45944</v>
      </c>
      <c r="H297" s="62">
        <v>0</v>
      </c>
      <c r="I297" s="60" t="s">
        <v>315</v>
      </c>
      <c r="J297" s="42">
        <f t="shared" si="0"/>
        <v>10</v>
      </c>
      <c r="K297" s="41"/>
    </row>
    <row r="298" spans="1:11" hidden="1" x14ac:dyDescent="0.25">
      <c r="A298" s="58">
        <v>45933</v>
      </c>
      <c r="B298" s="59" t="s">
        <v>308</v>
      </c>
      <c r="C298" s="59" t="str">
        <f>IFERROR(VLOOKUP(D298,'CODIGOS ACTIVOS'!A:E,2,0), "NUEVO")</f>
        <v>NUEVO</v>
      </c>
      <c r="D298" s="60" t="s">
        <v>32</v>
      </c>
      <c r="E298" s="61">
        <v>1</v>
      </c>
      <c r="F298" s="61"/>
      <c r="G298" s="58"/>
      <c r="H298" s="62">
        <v>0</v>
      </c>
      <c r="I298" s="60" t="s">
        <v>329</v>
      </c>
      <c r="J298" s="42">
        <f t="shared" si="0"/>
        <v>10</v>
      </c>
      <c r="K298" s="41"/>
    </row>
    <row r="299" spans="1:11" hidden="1" x14ac:dyDescent="0.25">
      <c r="A299" s="58">
        <v>45933</v>
      </c>
      <c r="B299" s="59"/>
      <c r="C299" s="59" t="str">
        <f>IFERROR(VLOOKUP(D299,'CODIGOS ACTIVOS'!A:E,2,0), "NUEVO")</f>
        <v>NUEVO</v>
      </c>
      <c r="D299" s="60" t="s">
        <v>330</v>
      </c>
      <c r="E299" s="61">
        <v>5</v>
      </c>
      <c r="F299" s="61"/>
      <c r="G299" s="58"/>
      <c r="H299" s="62">
        <v>0</v>
      </c>
      <c r="I299" s="60" t="s">
        <v>315</v>
      </c>
      <c r="J299" s="42">
        <f t="shared" si="0"/>
        <v>10</v>
      </c>
      <c r="K299" s="41"/>
    </row>
    <row r="300" spans="1:11" hidden="1" x14ac:dyDescent="0.25">
      <c r="A300" s="58">
        <v>45937</v>
      </c>
      <c r="B300" s="59"/>
      <c r="C300" s="59" t="str">
        <f>IFERROR(VLOOKUP(D300,'CODIGOS ACTIVOS'!A:E,2,0), "NUEVO")</f>
        <v>NUEVO</v>
      </c>
      <c r="D300" s="60" t="s">
        <v>331</v>
      </c>
      <c r="E300" s="61">
        <v>1</v>
      </c>
      <c r="F300" s="61"/>
      <c r="G300" s="58"/>
      <c r="H300" s="62">
        <v>0</v>
      </c>
      <c r="I300" s="60" t="s">
        <v>332</v>
      </c>
      <c r="J300" s="42">
        <f t="shared" si="0"/>
        <v>10</v>
      </c>
      <c r="K300" s="41">
        <v>2025</v>
      </c>
    </row>
    <row r="301" spans="1:11" x14ac:dyDescent="0.25">
      <c r="A301" s="58">
        <v>45938</v>
      </c>
      <c r="B301" s="59"/>
      <c r="C301" s="59" t="str">
        <f>IFERROR(VLOOKUP(D301,'CODIGOS ACTIVOS'!A:E,2,0), "NUEVO")</f>
        <v>NUEVO</v>
      </c>
      <c r="D301" s="60" t="s">
        <v>333</v>
      </c>
      <c r="E301" s="61">
        <v>2</v>
      </c>
      <c r="F301" s="61">
        <v>2</v>
      </c>
      <c r="G301" s="58">
        <v>45958</v>
      </c>
      <c r="H301" s="62">
        <v>0</v>
      </c>
      <c r="I301" s="60" t="s">
        <v>334</v>
      </c>
      <c r="J301" s="42">
        <f t="shared" si="0"/>
        <v>10</v>
      </c>
      <c r="K301" s="41"/>
    </row>
    <row r="302" spans="1:11" hidden="1" x14ac:dyDescent="0.25">
      <c r="A302" s="58">
        <v>45967</v>
      </c>
      <c r="B302" s="59"/>
      <c r="C302" s="59" t="str">
        <f>IFERROR(VLOOKUP(D302,'CODIGOS ACTIVOS'!A:E,2,0), "NUEVO")</f>
        <v>Q252747</v>
      </c>
      <c r="D302" s="60" t="s">
        <v>255</v>
      </c>
      <c r="E302" s="61">
        <v>10</v>
      </c>
      <c r="F302" s="61">
        <v>10</v>
      </c>
      <c r="G302" s="58">
        <v>46029</v>
      </c>
      <c r="H302" s="62"/>
      <c r="I302" s="60" t="s">
        <v>335</v>
      </c>
      <c r="J302" s="42">
        <f t="shared" si="0"/>
        <v>11</v>
      </c>
      <c r="K302" s="41"/>
    </row>
    <row r="303" spans="1:11" hidden="1" x14ac:dyDescent="0.25">
      <c r="A303" s="58">
        <v>45967</v>
      </c>
      <c r="B303" s="59"/>
      <c r="C303" s="59" t="str">
        <f>IFERROR(VLOOKUP(D303,'CODIGOS ACTIVOS'!A:E,2,0), "NUEVO")</f>
        <v>A251139</v>
      </c>
      <c r="D303" s="60" t="s">
        <v>30</v>
      </c>
      <c r="E303" s="61">
        <v>5</v>
      </c>
      <c r="F303" s="61">
        <v>5</v>
      </c>
      <c r="G303" s="58">
        <v>46044</v>
      </c>
      <c r="H303" s="62"/>
      <c r="I303" s="60" t="s">
        <v>336</v>
      </c>
      <c r="J303" s="42">
        <f t="shared" si="0"/>
        <v>11</v>
      </c>
      <c r="K303" s="41"/>
    </row>
    <row r="304" spans="1:11" hidden="1" x14ac:dyDescent="0.25">
      <c r="A304" s="58">
        <v>45967</v>
      </c>
      <c r="B304" s="59"/>
      <c r="C304" s="59" t="str">
        <f>IFERROR(VLOOKUP(D304,'CODIGOS ACTIVOS'!A:E,2,0), "NUEVO")</f>
        <v>Q252746</v>
      </c>
      <c r="D304" s="60" t="s">
        <v>28</v>
      </c>
      <c r="E304" s="61">
        <v>3</v>
      </c>
      <c r="F304" s="61"/>
      <c r="G304" s="58"/>
      <c r="H304" s="62"/>
      <c r="I304" s="60" t="s">
        <v>337</v>
      </c>
      <c r="J304" s="42">
        <f t="shared" si="0"/>
        <v>11</v>
      </c>
      <c r="K304" s="41"/>
    </row>
    <row r="305" spans="1:11" hidden="1" x14ac:dyDescent="0.25">
      <c r="A305" s="58">
        <v>45967</v>
      </c>
      <c r="B305" s="59"/>
      <c r="C305" s="59" t="str">
        <f>IFERROR(VLOOKUP(D305,'CODIGOS ACTIVOS'!A:E,2,0), "NUEVO")</f>
        <v>NUEVO</v>
      </c>
      <c r="D305" s="60" t="s">
        <v>278</v>
      </c>
      <c r="E305" s="61">
        <v>1</v>
      </c>
      <c r="F305" s="61"/>
      <c r="G305" s="58"/>
      <c r="H305" s="62"/>
      <c r="I305" s="60" t="s">
        <v>338</v>
      </c>
      <c r="J305" s="42">
        <f t="shared" si="0"/>
        <v>11</v>
      </c>
      <c r="K305" s="41"/>
    </row>
    <row r="306" spans="1:11" hidden="1" x14ac:dyDescent="0.25">
      <c r="A306" s="58">
        <v>45967</v>
      </c>
      <c r="B306" s="59"/>
      <c r="C306" s="59" t="str">
        <f>IFERROR(VLOOKUP(D306,'CODIGOS ACTIVOS'!A:E,2,0), "NUEVO")</f>
        <v>NUEVO</v>
      </c>
      <c r="D306" s="60" t="s">
        <v>339</v>
      </c>
      <c r="E306" s="61">
        <v>2</v>
      </c>
      <c r="F306" s="61"/>
      <c r="G306" s="58"/>
      <c r="H306" s="62"/>
      <c r="I306" s="60" t="s">
        <v>340</v>
      </c>
      <c r="J306" s="42">
        <f t="shared" si="0"/>
        <v>11</v>
      </c>
      <c r="K306" s="41"/>
    </row>
    <row r="307" spans="1:11" hidden="1" x14ac:dyDescent="0.25">
      <c r="A307" s="58">
        <v>45967</v>
      </c>
      <c r="B307" s="59"/>
      <c r="C307" s="59" t="str">
        <f>IFERROR(VLOOKUP(D307,'CODIGOS ACTIVOS'!A:E,2,0), "NUEVO")</f>
        <v>NUEVO</v>
      </c>
      <c r="D307" s="60" t="s">
        <v>341</v>
      </c>
      <c r="E307" s="61">
        <v>6</v>
      </c>
      <c r="F307" s="61"/>
      <c r="G307" s="58">
        <v>46058</v>
      </c>
      <c r="H307" s="62"/>
      <c r="I307" s="60" t="s">
        <v>342</v>
      </c>
      <c r="J307" s="42">
        <f t="shared" si="0"/>
        <v>11</v>
      </c>
      <c r="K307" s="41"/>
    </row>
    <row r="308" spans="1:11" x14ac:dyDescent="0.25">
      <c r="A308" s="58">
        <v>45967</v>
      </c>
      <c r="B308" s="59"/>
      <c r="C308" s="59" t="str">
        <f>IFERROR(VLOOKUP(D308,'CODIGOS ACTIVOS'!A:E,2,0), "NUEVO")</f>
        <v>NUEVO</v>
      </c>
      <c r="D308" s="60" t="s">
        <v>343</v>
      </c>
      <c r="E308" s="61">
        <v>2</v>
      </c>
      <c r="F308" s="61"/>
      <c r="G308" s="58">
        <v>46058</v>
      </c>
      <c r="H308" s="62"/>
      <c r="I308" s="60" t="s">
        <v>344</v>
      </c>
      <c r="J308" s="42">
        <f t="shared" si="0"/>
        <v>11</v>
      </c>
      <c r="K308" s="41"/>
    </row>
    <row r="309" spans="1:11" x14ac:dyDescent="0.25">
      <c r="A309" s="58">
        <v>45985</v>
      </c>
      <c r="B309" s="59"/>
      <c r="C309" s="59" t="str">
        <f>IFERROR(VLOOKUP(D309,'CODIGOS ACTIVOS'!A:E,2,0), "NUEVO")</f>
        <v>Q250011 O Q252863</v>
      </c>
      <c r="D309" s="60" t="s">
        <v>44</v>
      </c>
      <c r="E309" s="61">
        <v>10</v>
      </c>
      <c r="F309" s="61"/>
      <c r="G309" s="58"/>
      <c r="H309" s="62"/>
      <c r="I309" s="60" t="s">
        <v>315</v>
      </c>
      <c r="J309" s="42">
        <f t="shared" si="0"/>
        <v>11</v>
      </c>
      <c r="K309" s="41"/>
    </row>
    <row r="310" spans="1:11" hidden="1" x14ac:dyDescent="0.25">
      <c r="A310" s="58">
        <v>45985</v>
      </c>
      <c r="B310" s="59"/>
      <c r="C310" s="59" t="str">
        <f>IFERROR(VLOOKUP(D310,'CODIGOS ACTIVOS'!A:E,2,0), "NUEVO")</f>
        <v>Q252509</v>
      </c>
      <c r="D310" s="60" t="s">
        <v>39</v>
      </c>
      <c r="E310" s="61">
        <v>20</v>
      </c>
      <c r="F310" s="61"/>
      <c r="G310" s="58"/>
      <c r="H310" s="62"/>
      <c r="I310" s="60" t="s">
        <v>345</v>
      </c>
      <c r="J310" s="42">
        <f t="shared" si="0"/>
        <v>11</v>
      </c>
      <c r="K310" s="41"/>
    </row>
    <row r="311" spans="1:11" hidden="1" x14ac:dyDescent="0.25">
      <c r="A311" s="58">
        <v>45985</v>
      </c>
      <c r="B311" s="59"/>
      <c r="C311" s="59" t="str">
        <f>IFERROR(VLOOKUP(D311,'CODIGOS ACTIVOS'!A:E,2,0), "NUEVO")</f>
        <v>A092046</v>
      </c>
      <c r="D311" s="60" t="s">
        <v>145</v>
      </c>
      <c r="E311" s="61">
        <v>10</v>
      </c>
      <c r="F311" s="61"/>
      <c r="G311" s="58"/>
      <c r="H311" s="62"/>
      <c r="I311" s="60" t="s">
        <v>315</v>
      </c>
      <c r="J311" s="42">
        <f t="shared" si="0"/>
        <v>11</v>
      </c>
      <c r="K311" s="41"/>
    </row>
    <row r="312" spans="1:11" hidden="1" x14ac:dyDescent="0.25">
      <c r="A312" s="58">
        <v>45627</v>
      </c>
      <c r="B312" s="59"/>
      <c r="C312" s="59" t="s">
        <v>14</v>
      </c>
      <c r="D312" s="60" t="s">
        <v>220</v>
      </c>
      <c r="E312" s="61">
        <v>8</v>
      </c>
      <c r="F312" s="61"/>
      <c r="G312" s="58"/>
      <c r="H312" s="62">
        <v>0</v>
      </c>
      <c r="I312" s="60" t="s">
        <v>315</v>
      </c>
      <c r="J312" s="42">
        <f t="shared" si="0"/>
        <v>12</v>
      </c>
      <c r="K312" s="41"/>
    </row>
    <row r="313" spans="1:11" hidden="1" x14ac:dyDescent="0.25">
      <c r="A313" s="58">
        <v>45078</v>
      </c>
      <c r="B313" s="59"/>
      <c r="C313" s="59" t="s">
        <v>232</v>
      </c>
      <c r="D313" s="60" t="s">
        <v>15</v>
      </c>
      <c r="E313" s="61">
        <v>1</v>
      </c>
      <c r="F313" s="61"/>
      <c r="G313" s="58"/>
      <c r="H313" s="62"/>
      <c r="I313" s="60" t="s">
        <v>315</v>
      </c>
      <c r="J313" s="42">
        <f t="shared" si="0"/>
        <v>6</v>
      </c>
      <c r="K313" s="41"/>
    </row>
    <row r="314" spans="1:11" hidden="1" x14ac:dyDescent="0.25">
      <c r="A314" s="58">
        <v>46000</v>
      </c>
      <c r="B314" s="59"/>
      <c r="C314" s="59" t="s">
        <v>14</v>
      </c>
      <c r="D314" s="60" t="s">
        <v>275</v>
      </c>
      <c r="E314" s="61">
        <v>2</v>
      </c>
      <c r="F314" s="61">
        <v>2</v>
      </c>
      <c r="G314" s="58">
        <v>46091</v>
      </c>
      <c r="H314" s="62"/>
      <c r="I314" s="60" t="s">
        <v>322</v>
      </c>
    </row>
    <row r="315" spans="1:11" hidden="1" x14ac:dyDescent="0.25">
      <c r="A315" s="58">
        <v>46000</v>
      </c>
      <c r="B315" s="59"/>
      <c r="C315" s="59" t="str">
        <f>IFERROR(VLOOKUP(D315,'CODIGOS ACTIVOS'!A:E,2,0), "NUEVO")</f>
        <v>A251139</v>
      </c>
      <c r="D315" s="60" t="s">
        <v>346</v>
      </c>
      <c r="E315" s="61">
        <v>10</v>
      </c>
      <c r="F315" s="61">
        <v>5</v>
      </c>
      <c r="G315" s="58">
        <v>46044</v>
      </c>
      <c r="H315" s="62"/>
      <c r="I315" s="60" t="s">
        <v>347</v>
      </c>
      <c r="J315" s="42">
        <f t="shared" si="0"/>
        <v>12</v>
      </c>
      <c r="K315" s="41"/>
    </row>
    <row r="316" spans="1:11" hidden="1" x14ac:dyDescent="0.25">
      <c r="A316" s="58">
        <v>46000</v>
      </c>
      <c r="B316" s="59"/>
      <c r="C316" s="59" t="s">
        <v>231</v>
      </c>
      <c r="D316" s="60" t="s">
        <v>323</v>
      </c>
      <c r="E316" s="61">
        <v>10</v>
      </c>
      <c r="F316" s="61">
        <v>10</v>
      </c>
      <c r="G316" s="58">
        <v>46044</v>
      </c>
      <c r="H316" s="62"/>
      <c r="I316" s="60" t="s">
        <v>348</v>
      </c>
      <c r="J316" s="42">
        <f t="shared" si="0"/>
        <v>12</v>
      </c>
      <c r="K316" s="41"/>
    </row>
    <row r="317" spans="1:11" x14ac:dyDescent="0.25">
      <c r="A317" s="58">
        <v>46000</v>
      </c>
      <c r="B317" s="59"/>
      <c r="C317" s="59" t="str">
        <f>IFERROR(VLOOKUP(D317,'CODIGOS ACTIVOS'!A:E,2,0), "NUEVO")</f>
        <v>NUEVO</v>
      </c>
      <c r="D317" s="60" t="s">
        <v>333</v>
      </c>
      <c r="E317" s="61">
        <v>3</v>
      </c>
      <c r="F317" s="61"/>
      <c r="G317" s="58"/>
      <c r="H317" s="62"/>
      <c r="I317" s="60" t="s">
        <v>349</v>
      </c>
      <c r="J317" s="42">
        <f t="shared" si="0"/>
        <v>12</v>
      </c>
      <c r="K317" s="41"/>
    </row>
    <row r="318" spans="1:11" hidden="1" x14ac:dyDescent="0.25">
      <c r="A318" s="58">
        <v>46037</v>
      </c>
      <c r="B318" s="59"/>
      <c r="C318" s="59" t="str">
        <f>IFERROR(VLOOKUP(D318,'CODIGOS ACTIVOS'!A:E,2,0), "NUEVO")</f>
        <v>Q252747</v>
      </c>
      <c r="D318" s="60" t="s">
        <v>255</v>
      </c>
      <c r="E318" s="61">
        <v>20</v>
      </c>
      <c r="F318" s="61"/>
      <c r="G318" s="58"/>
      <c r="H318" s="62"/>
      <c r="I318" s="60" t="s">
        <v>350</v>
      </c>
      <c r="J318" s="42">
        <f t="shared" si="0"/>
        <v>1</v>
      </c>
      <c r="K318" s="41"/>
    </row>
    <row r="319" spans="1:11" hidden="1" x14ac:dyDescent="0.25">
      <c r="A319" s="58">
        <v>46037</v>
      </c>
      <c r="B319" s="59"/>
      <c r="C319" s="59" t="str">
        <f>IFERROR(VLOOKUP(D319,'CODIGOS ACTIVOS'!A:E,2,0), "NUEVO")</f>
        <v>A251139</v>
      </c>
      <c r="D319" s="60" t="s">
        <v>346</v>
      </c>
      <c r="E319" s="61">
        <v>10</v>
      </c>
      <c r="F319" s="61"/>
      <c r="G319" s="58"/>
      <c r="H319" s="62"/>
      <c r="I319" s="60" t="s">
        <v>351</v>
      </c>
      <c r="J319" s="42">
        <f t="shared" si="0"/>
        <v>1</v>
      </c>
      <c r="K319" s="41"/>
    </row>
    <row r="320" spans="1:11" hidden="1" x14ac:dyDescent="0.25">
      <c r="A320" s="58">
        <v>46037</v>
      </c>
      <c r="B320" s="59"/>
      <c r="C320" s="59" t="str">
        <f>IFERROR(VLOOKUP(D320,'CODIGOS ACTIVOS'!A:E,2,0), "NUEVO")</f>
        <v>Q250003</v>
      </c>
      <c r="D320" s="60" t="s">
        <v>47</v>
      </c>
      <c r="E320" s="61">
        <v>10</v>
      </c>
      <c r="F320" s="61">
        <v>4</v>
      </c>
      <c r="G320" s="58">
        <v>46044</v>
      </c>
      <c r="H320" s="62"/>
      <c r="I320" s="60" t="s">
        <v>351</v>
      </c>
      <c r="J320" s="42">
        <f t="shared" si="0"/>
        <v>1</v>
      </c>
      <c r="K320" s="41"/>
    </row>
    <row r="321" spans="1:11" hidden="1" x14ac:dyDescent="0.25">
      <c r="A321" s="58">
        <v>46037</v>
      </c>
      <c r="B321" s="59"/>
      <c r="C321" s="59" t="str">
        <f>IFERROR(VLOOKUP(D321,'CODIGOS ACTIVOS'!A:E,2,0), "NUEVO")</f>
        <v>A250013</v>
      </c>
      <c r="D321" s="60" t="s">
        <v>85</v>
      </c>
      <c r="E321" s="61">
        <v>10</v>
      </c>
      <c r="F321" s="61"/>
      <c r="G321" s="58"/>
      <c r="H321" s="62"/>
      <c r="I321" s="60" t="s">
        <v>351</v>
      </c>
      <c r="J321" s="42">
        <f t="shared" si="0"/>
        <v>1</v>
      </c>
      <c r="K321" s="41"/>
    </row>
    <row r="322" spans="1:11" hidden="1" x14ac:dyDescent="0.25">
      <c r="A322" s="58">
        <v>46037</v>
      </c>
      <c r="B322" s="59"/>
      <c r="C322" s="59" t="str">
        <f>IFERROR(VLOOKUP(D322,'CODIGOS ACTIVOS'!A:E,2,0), "NUEVO")</f>
        <v>Q252772</v>
      </c>
      <c r="D322" s="60" t="s">
        <v>309</v>
      </c>
      <c r="E322" s="61">
        <v>5</v>
      </c>
      <c r="F322" s="61"/>
      <c r="G322" s="58"/>
      <c r="H322" s="62"/>
      <c r="I322" s="60" t="s">
        <v>315</v>
      </c>
      <c r="J322" s="42">
        <f t="shared" si="0"/>
        <v>1</v>
      </c>
      <c r="K322" s="41"/>
    </row>
    <row r="323" spans="1:11" hidden="1" x14ac:dyDescent="0.25">
      <c r="A323" s="58">
        <v>46037</v>
      </c>
      <c r="B323" s="59"/>
      <c r="C323" s="59" t="str">
        <f>IFERROR(VLOOKUP(D323,'CODIGOS ACTIVOS'!A:E,2,0), "NUEVO")</f>
        <v>A250111</v>
      </c>
      <c r="D323" s="60" t="s">
        <v>352</v>
      </c>
      <c r="E323" s="61">
        <v>2</v>
      </c>
      <c r="F323" s="61">
        <v>2</v>
      </c>
      <c r="G323" s="58">
        <v>45705</v>
      </c>
      <c r="H323" s="62">
        <v>0</v>
      </c>
      <c r="I323" s="60" t="s">
        <v>315</v>
      </c>
      <c r="J323" s="42">
        <f t="shared" ref="J323:J381" si="1">MONTH(A323)</f>
        <v>1</v>
      </c>
      <c r="K323" s="41"/>
    </row>
    <row r="324" spans="1:11" hidden="1" x14ac:dyDescent="0.25">
      <c r="A324" s="58">
        <v>46037</v>
      </c>
      <c r="B324" s="59"/>
      <c r="C324" s="59" t="str">
        <f>IFERROR(VLOOKUP(D324,'CODIGOS ACTIVOS'!A:E,2,0), "NUEVO")</f>
        <v>Q252748</v>
      </c>
      <c r="D324" s="60" t="s">
        <v>82</v>
      </c>
      <c r="E324" s="61">
        <v>5</v>
      </c>
      <c r="F324" s="61"/>
      <c r="G324" s="58"/>
      <c r="H324" s="62"/>
      <c r="I324" s="60" t="s">
        <v>315</v>
      </c>
      <c r="J324" s="42">
        <f t="shared" si="1"/>
        <v>1</v>
      </c>
      <c r="K324" s="41"/>
    </row>
    <row r="325" spans="1:11" hidden="1" x14ac:dyDescent="0.25">
      <c r="A325" s="58">
        <v>46037</v>
      </c>
      <c r="B325" s="59"/>
      <c r="C325" s="59" t="s">
        <v>353</v>
      </c>
      <c r="D325" s="60" t="s">
        <v>354</v>
      </c>
      <c r="E325" s="61">
        <v>2</v>
      </c>
      <c r="F325" s="61"/>
      <c r="G325" s="58"/>
      <c r="H325" s="62"/>
      <c r="I325" s="60" t="s">
        <v>315</v>
      </c>
      <c r="J325" s="42">
        <f t="shared" si="1"/>
        <v>1</v>
      </c>
      <c r="K325" s="41"/>
    </row>
    <row r="326" spans="1:11" hidden="1" x14ac:dyDescent="0.25">
      <c r="A326" s="58">
        <v>46037</v>
      </c>
      <c r="B326" s="59"/>
      <c r="C326" s="59" t="str">
        <f>IFERROR(VLOOKUP(D326,'CODIGOS ACTIVOS'!A:E,2,0), "NUEVO")</f>
        <v>Q252732</v>
      </c>
      <c r="D326" s="60" t="s">
        <v>34</v>
      </c>
      <c r="E326" s="61">
        <v>2</v>
      </c>
      <c r="F326" s="61"/>
      <c r="G326" s="58"/>
      <c r="H326" s="62"/>
      <c r="I326" s="60" t="s">
        <v>315</v>
      </c>
      <c r="J326" s="42">
        <f t="shared" si="1"/>
        <v>1</v>
      </c>
      <c r="K326" s="41"/>
    </row>
    <row r="327" spans="1:11" hidden="1" x14ac:dyDescent="0.25">
      <c r="A327" s="58">
        <v>46037</v>
      </c>
      <c r="B327" s="59"/>
      <c r="C327" s="59" t="str">
        <f>IFERROR(VLOOKUP(D327,'CODIGOS ACTIVOS'!A:E,2,0), "NUEVO")</f>
        <v>A251002</v>
      </c>
      <c r="D327" s="60" t="s">
        <v>250</v>
      </c>
      <c r="E327" s="61">
        <v>2</v>
      </c>
      <c r="F327" s="61"/>
      <c r="G327" s="58"/>
      <c r="H327" s="62"/>
      <c r="I327" s="60" t="s">
        <v>315</v>
      </c>
      <c r="J327" s="42">
        <f t="shared" si="1"/>
        <v>1</v>
      </c>
      <c r="K327" s="41"/>
    </row>
    <row r="328" spans="1:11" hidden="1" x14ac:dyDescent="0.25">
      <c r="A328" s="58">
        <v>46037</v>
      </c>
      <c r="B328" s="59"/>
      <c r="C328" s="63">
        <v>33059</v>
      </c>
      <c r="D328" s="60" t="s">
        <v>355</v>
      </c>
      <c r="E328" s="61">
        <v>10</v>
      </c>
      <c r="F328" s="61"/>
      <c r="G328" s="58"/>
      <c r="H328" s="62"/>
      <c r="I328" s="60" t="s">
        <v>351</v>
      </c>
      <c r="J328" s="42">
        <f t="shared" si="1"/>
        <v>1</v>
      </c>
      <c r="K328" s="41"/>
    </row>
    <row r="329" spans="1:11" hidden="1" x14ac:dyDescent="0.25">
      <c r="A329" s="58">
        <v>46038</v>
      </c>
      <c r="B329" s="59"/>
      <c r="C329" s="59" t="str">
        <f>IFERROR(VLOOKUP(D329,'CODIGOS ACTIVOS'!A:E,2,0), "NUEVO")</f>
        <v>Q252746</v>
      </c>
      <c r="D329" s="60" t="s">
        <v>28</v>
      </c>
      <c r="E329" s="61">
        <v>2</v>
      </c>
      <c r="F329" s="61"/>
      <c r="G329" s="58"/>
      <c r="H329" s="62"/>
      <c r="I329" s="60" t="s">
        <v>356</v>
      </c>
      <c r="J329" s="42">
        <f t="shared" si="1"/>
        <v>1</v>
      </c>
      <c r="K329" s="41"/>
    </row>
    <row r="330" spans="1:11" hidden="1" x14ac:dyDescent="0.25">
      <c r="A330" s="58">
        <v>46039</v>
      </c>
      <c r="B330" s="59"/>
      <c r="C330" s="59" t="str">
        <f>IFERROR(VLOOKUP(D330,'CODIGOS ACTIVOS'!A:E,2,0), "NUEVO")</f>
        <v>NUEVO</v>
      </c>
      <c r="D330" s="60" t="s">
        <v>357</v>
      </c>
      <c r="E330" s="61">
        <v>4</v>
      </c>
      <c r="F330" s="61"/>
      <c r="G330" s="58"/>
      <c r="H330" s="62"/>
      <c r="I330" s="60" t="s">
        <v>315</v>
      </c>
      <c r="J330" s="42">
        <f t="shared" si="1"/>
        <v>1</v>
      </c>
      <c r="K330" s="41"/>
    </row>
    <row r="331" spans="1:11" hidden="1" x14ac:dyDescent="0.25">
      <c r="A331" s="58">
        <v>46040</v>
      </c>
      <c r="B331" s="59"/>
      <c r="C331" s="59" t="str">
        <f>IFERROR(VLOOKUP(D331,'CODIGOS ACTIVOS'!A:E,2,0), "NUEVO")</f>
        <v>NUEVO</v>
      </c>
      <c r="D331" s="60" t="s">
        <v>358</v>
      </c>
      <c r="E331" s="61">
        <v>1</v>
      </c>
      <c r="F331" s="61"/>
      <c r="G331" s="58"/>
      <c r="H331" s="62"/>
      <c r="I331" s="60" t="s">
        <v>315</v>
      </c>
      <c r="J331" s="42">
        <f t="shared" si="1"/>
        <v>1</v>
      </c>
      <c r="K331" s="41"/>
    </row>
    <row r="332" spans="1:11" hidden="1" x14ac:dyDescent="0.25">
      <c r="A332" s="58">
        <v>46041</v>
      </c>
      <c r="B332" s="59"/>
      <c r="C332" s="59" t="str">
        <f>IFERROR(VLOOKUP(#REF!,'CODIGOS ACTIVOS'!A:E,2,0), "NUEVO")</f>
        <v>NUEVO</v>
      </c>
      <c r="D332" s="60" t="s">
        <v>359</v>
      </c>
      <c r="E332" s="61">
        <v>5</v>
      </c>
      <c r="F332" s="61">
        <v>5</v>
      </c>
      <c r="G332" s="58">
        <v>46099</v>
      </c>
      <c r="H332" s="62"/>
      <c r="I332" s="60" t="s">
        <v>360</v>
      </c>
      <c r="J332" s="42">
        <f t="shared" si="1"/>
        <v>1</v>
      </c>
      <c r="K332" s="41"/>
    </row>
    <row r="333" spans="1:11" hidden="1" x14ac:dyDescent="0.25">
      <c r="A333" s="58">
        <v>46042</v>
      </c>
      <c r="B333" s="59"/>
      <c r="C333" s="59" t="str">
        <f>IFERROR(VLOOKUP(#REF!,'CODIGOS ACTIVOS'!A:E,2,0), "NUEVO")</f>
        <v>NUEVO</v>
      </c>
      <c r="D333" s="60" t="s">
        <v>361</v>
      </c>
      <c r="E333" s="61">
        <v>5</v>
      </c>
      <c r="F333" s="61"/>
      <c r="G333" s="58"/>
      <c r="H333" s="62"/>
      <c r="I333" s="60" t="s">
        <v>360</v>
      </c>
      <c r="J333" s="42">
        <f t="shared" si="1"/>
        <v>1</v>
      </c>
      <c r="K333" s="41"/>
    </row>
    <row r="334" spans="1:11" hidden="1" x14ac:dyDescent="0.25">
      <c r="A334" s="58">
        <v>45684</v>
      </c>
      <c r="B334" s="59"/>
      <c r="C334" s="59" t="str">
        <f>IFERROR(VLOOKUP(D334,'CODIGOS ACTIVOS'!A:E,2,0), "NUEVO")</f>
        <v>NUEVO</v>
      </c>
      <c r="D334" s="60" t="s">
        <v>129</v>
      </c>
      <c r="E334" s="61">
        <v>1</v>
      </c>
      <c r="F334" s="61"/>
      <c r="G334" s="58"/>
      <c r="H334" s="62"/>
      <c r="I334" s="60" t="s">
        <v>322</v>
      </c>
      <c r="J334" s="42">
        <f t="shared" si="1"/>
        <v>1</v>
      </c>
      <c r="K334" s="41"/>
    </row>
    <row r="335" spans="1:11" hidden="1" x14ac:dyDescent="0.25">
      <c r="A335" s="58">
        <v>46050</v>
      </c>
      <c r="B335" s="59"/>
      <c r="C335" s="59" t="str">
        <f>IFERROR(VLOOKUP(D335,'CODIGOS ACTIVOS'!A:E,2,0), "NUEVO")</f>
        <v>NUEVO</v>
      </c>
      <c r="D335" s="60" t="s">
        <v>341</v>
      </c>
      <c r="E335" s="61">
        <v>6</v>
      </c>
      <c r="F335" s="61">
        <v>6</v>
      </c>
      <c r="G335" s="58">
        <v>46058</v>
      </c>
      <c r="H335" s="62"/>
      <c r="I335" s="60" t="s">
        <v>342</v>
      </c>
      <c r="J335" s="42">
        <f t="shared" si="1"/>
        <v>1</v>
      </c>
      <c r="K335" s="41"/>
    </row>
    <row r="336" spans="1:11" hidden="1" x14ac:dyDescent="0.25">
      <c r="A336" s="58">
        <v>46000</v>
      </c>
      <c r="B336" s="59"/>
      <c r="C336" s="59" t="str">
        <f>IFERROR(VLOOKUP(D336,'CODIGOS ACTIVOS'!A:E,2,0), "NUEVO")</f>
        <v>A258988</v>
      </c>
      <c r="D336" s="60" t="s">
        <v>25</v>
      </c>
      <c r="E336" s="61">
        <v>2</v>
      </c>
      <c r="F336" s="61">
        <v>2</v>
      </c>
      <c r="G336" s="58">
        <v>46070</v>
      </c>
      <c r="H336" s="62"/>
      <c r="I336" s="60" t="s">
        <v>362</v>
      </c>
    </row>
    <row r="337" spans="1:11" hidden="1" x14ac:dyDescent="0.25">
      <c r="A337" s="58">
        <v>46000</v>
      </c>
      <c r="B337" s="59"/>
      <c r="C337" s="59" t="str">
        <f>IFERROR(VLOOKUP(D337,'CODIGOS ACTIVOS'!A:E,2,0), "NUEVO")</f>
        <v>A250071</v>
      </c>
      <c r="D337" s="60" t="s">
        <v>311</v>
      </c>
      <c r="E337" s="61">
        <v>5</v>
      </c>
      <c r="F337" s="61"/>
      <c r="G337" s="58"/>
      <c r="H337" s="62"/>
      <c r="I337" s="60" t="s">
        <v>363</v>
      </c>
    </row>
    <row r="338" spans="1:11" hidden="1" x14ac:dyDescent="0.25">
      <c r="A338" s="58">
        <v>45690</v>
      </c>
      <c r="B338" s="59"/>
      <c r="C338" s="59" t="str">
        <f>IFERROR(VLOOKUP(#REF!,'CODIGOS ACTIVOS'!A:E,2,0), "NUEVO")</f>
        <v>NUEVO</v>
      </c>
      <c r="D338" s="59" t="s">
        <v>364</v>
      </c>
      <c r="E338" s="61">
        <v>1</v>
      </c>
      <c r="F338" s="61"/>
      <c r="G338" s="58"/>
      <c r="H338" s="62"/>
      <c r="I338" s="60" t="s">
        <v>303</v>
      </c>
      <c r="J338" s="42">
        <f t="shared" si="1"/>
        <v>2</v>
      </c>
      <c r="K338" s="41"/>
    </row>
    <row r="339" spans="1:11" hidden="1" x14ac:dyDescent="0.25">
      <c r="A339" s="58">
        <v>46057</v>
      </c>
      <c r="B339" s="59"/>
      <c r="C339" s="59" t="str">
        <f>IFERROR(VLOOKUP(D339,'CODIGOS ACTIVOS'!A:E,2,0), "NUEVO")</f>
        <v>NUEVO</v>
      </c>
      <c r="D339" s="60" t="s">
        <v>365</v>
      </c>
      <c r="E339" s="61">
        <v>5</v>
      </c>
      <c r="F339" s="61">
        <v>4</v>
      </c>
      <c r="G339" s="58">
        <v>46070</v>
      </c>
      <c r="H339" s="62">
        <v>1</v>
      </c>
      <c r="I339" s="60" t="s">
        <v>366</v>
      </c>
      <c r="J339" s="42">
        <f t="shared" si="1"/>
        <v>2</v>
      </c>
      <c r="K339" s="41"/>
    </row>
    <row r="340" spans="1:11" hidden="1" x14ac:dyDescent="0.25">
      <c r="A340" s="58">
        <v>46057</v>
      </c>
      <c r="B340" s="59"/>
      <c r="C340" s="59" t="str">
        <f>IFERROR(VLOOKUP(D340,'CODIGOS ACTIVOS'!A:E,2,0), "NUEVO")</f>
        <v>NUEVO</v>
      </c>
      <c r="D340" s="60" t="s">
        <v>367</v>
      </c>
      <c r="E340" s="61">
        <v>2</v>
      </c>
      <c r="F340" s="61">
        <v>2</v>
      </c>
      <c r="G340" s="58">
        <v>46070</v>
      </c>
      <c r="H340" s="62">
        <v>-2</v>
      </c>
      <c r="I340" s="60" t="s">
        <v>175</v>
      </c>
      <c r="J340" s="42">
        <f t="shared" si="1"/>
        <v>2</v>
      </c>
      <c r="K340" s="41"/>
    </row>
    <row r="341" spans="1:11" hidden="1" x14ac:dyDescent="0.25">
      <c r="A341" s="58">
        <v>46057</v>
      </c>
      <c r="B341" s="59"/>
      <c r="C341" s="59" t="str">
        <f>IFERROR(VLOOKUP(D341,'CODIGOS ACTIVOS'!A:E,2,0), "NUEVO")</f>
        <v>A258988</v>
      </c>
      <c r="D341" s="60" t="s">
        <v>25</v>
      </c>
      <c r="E341" s="61">
        <v>1</v>
      </c>
      <c r="F341" s="61"/>
      <c r="G341" s="58"/>
      <c r="H341" s="62">
        <v>-1</v>
      </c>
      <c r="I341" s="60" t="s">
        <v>368</v>
      </c>
      <c r="J341" s="42">
        <f t="shared" si="1"/>
        <v>2</v>
      </c>
      <c r="K341" s="41"/>
    </row>
    <row r="342" spans="1:11" hidden="1" x14ac:dyDescent="0.25">
      <c r="A342" s="58">
        <v>46057</v>
      </c>
      <c r="B342" s="59"/>
      <c r="C342" s="59" t="str">
        <f>IFERROR(VLOOKUP(D342,'CODIGOS ACTIVOS'!A:E,2,0), "NUEVO")</f>
        <v>A171049</v>
      </c>
      <c r="D342" s="60" t="s">
        <v>22</v>
      </c>
      <c r="E342" s="61">
        <v>3</v>
      </c>
      <c r="F342" s="61">
        <v>3</v>
      </c>
      <c r="G342" s="58">
        <v>46099</v>
      </c>
      <c r="H342" s="62">
        <v>-3</v>
      </c>
      <c r="I342" s="60" t="s">
        <v>369</v>
      </c>
      <c r="J342" s="42">
        <f t="shared" si="1"/>
        <v>2</v>
      </c>
      <c r="K342" s="41"/>
    </row>
    <row r="343" spans="1:11" hidden="1" x14ac:dyDescent="0.25">
      <c r="A343" s="58">
        <v>46057</v>
      </c>
      <c r="B343" s="59"/>
      <c r="C343" s="59" t="str">
        <f>IFERROR(VLOOKUP(D343,'CODIGOS ACTIVOS'!A:E,2,0), "NUEVO")</f>
        <v>Q252815</v>
      </c>
      <c r="D343" s="60" t="s">
        <v>93</v>
      </c>
      <c r="E343" s="61">
        <v>5</v>
      </c>
      <c r="F343" s="61"/>
      <c r="G343" s="58"/>
      <c r="H343" s="62">
        <v>-5</v>
      </c>
      <c r="I343" s="60" t="s">
        <v>370</v>
      </c>
      <c r="J343" s="42">
        <f t="shared" si="1"/>
        <v>2</v>
      </c>
      <c r="K343" s="41"/>
    </row>
    <row r="344" spans="1:11" hidden="1" x14ac:dyDescent="0.25">
      <c r="A344" s="58">
        <v>46057</v>
      </c>
      <c r="B344" s="59"/>
      <c r="C344" s="59" t="str">
        <f>IFERROR(VLOOKUP(D344,'CODIGOS ACTIVOS'!A:E,2,0), "NUEVO")</f>
        <v>A251139</v>
      </c>
      <c r="D344" s="60" t="s">
        <v>30</v>
      </c>
      <c r="E344" s="61">
        <v>7</v>
      </c>
      <c r="F344" s="61"/>
      <c r="G344" s="58"/>
      <c r="H344" s="62">
        <v>-7</v>
      </c>
      <c r="I344" s="60" t="s">
        <v>371</v>
      </c>
      <c r="J344" s="42">
        <f t="shared" si="1"/>
        <v>2</v>
      </c>
      <c r="K344" s="41"/>
    </row>
    <row r="345" spans="1:11" hidden="1" x14ac:dyDescent="0.25">
      <c r="A345" s="58">
        <v>46057</v>
      </c>
      <c r="B345" s="59"/>
      <c r="C345" s="59" t="str">
        <f>IFERROR(VLOOKUP(D345,'CODIGOS ACTIVOS'!A:E,2,0), "NUEVO")</f>
        <v>A092046</v>
      </c>
      <c r="D345" s="60" t="s">
        <v>145</v>
      </c>
      <c r="E345" s="61">
        <v>2</v>
      </c>
      <c r="F345" s="61">
        <v>2</v>
      </c>
      <c r="G345" s="58">
        <v>46148</v>
      </c>
      <c r="H345" s="62">
        <v>-2</v>
      </c>
      <c r="I345" s="60" t="s">
        <v>372</v>
      </c>
      <c r="J345" s="42">
        <f t="shared" si="1"/>
        <v>2</v>
      </c>
      <c r="K345" s="41"/>
    </row>
    <row r="346" spans="1:11" hidden="1" x14ac:dyDescent="0.25">
      <c r="A346" s="58">
        <v>46057</v>
      </c>
      <c r="B346" s="59"/>
      <c r="C346" s="59" t="str">
        <f>IFERROR(VLOOKUP(D346,'CODIGOS ACTIVOS'!A:E,2,0), "NUEVO")</f>
        <v>NUEVO</v>
      </c>
      <c r="D346" s="60" t="s">
        <v>32</v>
      </c>
      <c r="E346" s="61">
        <v>1</v>
      </c>
      <c r="F346" s="61">
        <v>1</v>
      </c>
      <c r="G346" s="58">
        <v>46206</v>
      </c>
      <c r="H346" s="62">
        <v>-1</v>
      </c>
      <c r="I346" s="60" t="s">
        <v>260</v>
      </c>
      <c r="J346" s="42">
        <f t="shared" si="1"/>
        <v>2</v>
      </c>
      <c r="K346" s="41"/>
    </row>
    <row r="347" spans="1:11" hidden="1" x14ac:dyDescent="0.25">
      <c r="A347" s="58">
        <v>46057</v>
      </c>
      <c r="B347" s="59"/>
      <c r="C347" s="59" t="s">
        <v>1514</v>
      </c>
      <c r="D347" s="60" t="s">
        <v>32</v>
      </c>
      <c r="E347" s="61">
        <v>1</v>
      </c>
      <c r="F347" s="61"/>
      <c r="G347" s="58"/>
      <c r="H347" s="62">
        <v>-1</v>
      </c>
      <c r="I347" s="60" t="s">
        <v>260</v>
      </c>
      <c r="J347" s="42">
        <f t="shared" si="1"/>
        <v>2</v>
      </c>
      <c r="K347" s="41"/>
    </row>
    <row r="348" spans="1:11" hidden="1" x14ac:dyDescent="0.25">
      <c r="A348" s="58">
        <v>46057</v>
      </c>
      <c r="B348" s="59"/>
      <c r="C348" s="59" t="str">
        <f>IFERROR(VLOOKUP(D348,'CODIGOS ACTIVOS'!A:E,2,0), "NUEVO")</f>
        <v>NUEVO</v>
      </c>
      <c r="D348" s="60" t="s">
        <v>129</v>
      </c>
      <c r="E348" s="61">
        <v>1</v>
      </c>
      <c r="F348" s="61"/>
      <c r="G348" s="58"/>
      <c r="H348" s="62">
        <v>-1</v>
      </c>
      <c r="I348" s="60" t="s">
        <v>260</v>
      </c>
      <c r="J348" s="42">
        <f t="shared" si="1"/>
        <v>2</v>
      </c>
      <c r="K348" s="41"/>
    </row>
    <row r="349" spans="1:11" hidden="1" x14ac:dyDescent="0.25">
      <c r="A349" s="58">
        <v>46057</v>
      </c>
      <c r="B349" s="59"/>
      <c r="C349" s="59" t="str">
        <f>IFERROR(VLOOKUP(D349,'CODIGOS ACTIVOS'!A:E,2,0), "NUEVO")</f>
        <v>NUEVO</v>
      </c>
      <c r="D349" s="60" t="s">
        <v>208</v>
      </c>
      <c r="E349" s="61">
        <v>1</v>
      </c>
      <c r="F349" s="61"/>
      <c r="G349" s="58"/>
      <c r="H349" s="62">
        <v>-1</v>
      </c>
      <c r="I349" s="60" t="s">
        <v>260</v>
      </c>
      <c r="J349" s="42">
        <f t="shared" si="1"/>
        <v>2</v>
      </c>
      <c r="K349" s="41"/>
    </row>
    <row r="350" spans="1:11" x14ac:dyDescent="0.25">
      <c r="A350" s="58">
        <v>46057</v>
      </c>
      <c r="B350" s="59"/>
      <c r="C350" s="59" t="str">
        <f>IFERROR(VLOOKUP(D350,'CODIGOS ACTIVOS'!A:E,2,0), "NUEVO")</f>
        <v>Q252732</v>
      </c>
      <c r="D350" s="60" t="s">
        <v>154</v>
      </c>
      <c r="E350" s="61">
        <v>2</v>
      </c>
      <c r="F350" s="61"/>
      <c r="G350" s="58"/>
      <c r="H350" s="62">
        <v>-2</v>
      </c>
      <c r="I350" s="60" t="s">
        <v>175</v>
      </c>
      <c r="J350" s="42">
        <f t="shared" si="1"/>
        <v>2</v>
      </c>
      <c r="K350" s="41"/>
    </row>
    <row r="351" spans="1:11" x14ac:dyDescent="0.25">
      <c r="A351" s="58">
        <v>46057</v>
      </c>
      <c r="B351" s="59"/>
      <c r="C351" s="59" t="str">
        <f>IFERROR(VLOOKUP(D351,'CODIGOS ACTIVOS'!A:E,2,0), "NUEVO")</f>
        <v>NUEVO</v>
      </c>
      <c r="D351" s="60" t="s">
        <v>373</v>
      </c>
      <c r="E351" s="61">
        <v>3</v>
      </c>
      <c r="F351" s="61"/>
      <c r="G351" s="58"/>
      <c r="H351" s="62">
        <v>-3</v>
      </c>
      <c r="I351" s="60" t="s">
        <v>374</v>
      </c>
      <c r="J351" s="42">
        <f t="shared" si="1"/>
        <v>2</v>
      </c>
      <c r="K351" s="41"/>
    </row>
    <row r="352" spans="1:11" hidden="1" x14ac:dyDescent="0.25">
      <c r="A352" s="58">
        <v>46057</v>
      </c>
      <c r="B352" s="59"/>
      <c r="C352" s="59" t="str">
        <f>IFERROR(VLOOKUP(D352,'CODIGOS ACTIVOS'!A:E,2,0), "NUEVO")</f>
        <v>NUEVO</v>
      </c>
      <c r="D352" s="60" t="s">
        <v>375</v>
      </c>
      <c r="E352" s="61">
        <v>1</v>
      </c>
      <c r="F352" s="61">
        <v>1</v>
      </c>
      <c r="G352" s="58">
        <v>46070</v>
      </c>
      <c r="H352" s="62">
        <v>-1</v>
      </c>
      <c r="I352" s="60" t="s">
        <v>368</v>
      </c>
      <c r="J352" s="42">
        <f t="shared" si="1"/>
        <v>2</v>
      </c>
      <c r="K352" s="41"/>
    </row>
    <row r="353" spans="1:11" hidden="1" x14ac:dyDescent="0.25">
      <c r="A353" s="58">
        <v>46057</v>
      </c>
      <c r="B353" s="59"/>
      <c r="C353" s="59" t="s">
        <v>231</v>
      </c>
      <c r="D353" s="60" t="s">
        <v>36</v>
      </c>
      <c r="E353" s="61">
        <v>10</v>
      </c>
      <c r="F353" s="61">
        <v>5</v>
      </c>
      <c r="G353" s="58">
        <v>46148</v>
      </c>
      <c r="H353" s="62">
        <v>-10</v>
      </c>
      <c r="I353" s="60" t="s">
        <v>376</v>
      </c>
      <c r="J353" s="42">
        <f t="shared" si="1"/>
        <v>2</v>
      </c>
      <c r="K353" s="41"/>
    </row>
    <row r="354" spans="1:11" hidden="1" x14ac:dyDescent="0.25">
      <c r="A354" s="58">
        <v>46057</v>
      </c>
      <c r="B354" s="59"/>
      <c r="C354" s="59" t="str">
        <f>IFERROR(VLOOKUP(D354,'CODIGOS ACTIVOS'!A:E,2,0), "NUEVO")</f>
        <v>Q252748</v>
      </c>
      <c r="D354" s="60" t="s">
        <v>82</v>
      </c>
      <c r="E354" s="61">
        <v>5</v>
      </c>
      <c r="F354" s="61"/>
      <c r="G354" s="58"/>
      <c r="H354" s="62">
        <v>-5</v>
      </c>
      <c r="I354" s="60" t="s">
        <v>370</v>
      </c>
      <c r="J354" s="42">
        <f t="shared" si="1"/>
        <v>2</v>
      </c>
      <c r="K354" s="41"/>
    </row>
    <row r="355" spans="1:11" hidden="1" x14ac:dyDescent="0.25">
      <c r="A355" s="58">
        <v>46057</v>
      </c>
      <c r="B355" s="59"/>
      <c r="C355" s="59" t="str">
        <f>IFERROR(VLOOKUP(D355,'CODIGOS ACTIVOS'!A:E,2,0), "NUEVO")</f>
        <v>NUEVO</v>
      </c>
      <c r="D355" s="60" t="s">
        <v>377</v>
      </c>
      <c r="E355" s="61">
        <v>1</v>
      </c>
      <c r="F355" s="61"/>
      <c r="G355" s="58"/>
      <c r="H355" s="62">
        <v>-1</v>
      </c>
      <c r="I355" s="60" t="s">
        <v>378</v>
      </c>
      <c r="J355" s="42">
        <f t="shared" si="1"/>
        <v>2</v>
      </c>
      <c r="K355" s="41"/>
    </row>
    <row r="356" spans="1:11" hidden="1" x14ac:dyDescent="0.25">
      <c r="A356" s="58">
        <v>46057</v>
      </c>
      <c r="B356" s="59"/>
      <c r="C356" s="59" t="s">
        <v>1574</v>
      </c>
      <c r="D356" s="60" t="s">
        <v>1575</v>
      </c>
      <c r="E356" s="61">
        <v>2</v>
      </c>
      <c r="F356" s="61">
        <v>2</v>
      </c>
      <c r="G356" s="58">
        <v>46070</v>
      </c>
      <c r="H356" s="62"/>
      <c r="I356" s="60" t="s">
        <v>175</v>
      </c>
      <c r="J356" s="42">
        <f t="shared" si="1"/>
        <v>2</v>
      </c>
      <c r="K356" s="41"/>
    </row>
    <row r="357" spans="1:11" hidden="1" x14ac:dyDescent="0.25">
      <c r="A357" s="58">
        <v>46070</v>
      </c>
      <c r="B357" s="59"/>
      <c r="C357" s="63">
        <v>8403735</v>
      </c>
      <c r="D357" s="60" t="s">
        <v>309</v>
      </c>
      <c r="E357" s="61">
        <v>5</v>
      </c>
      <c r="F357" s="61">
        <v>5</v>
      </c>
      <c r="G357" s="58">
        <v>46070</v>
      </c>
      <c r="H357" s="62"/>
      <c r="I357" s="60" t="s">
        <v>1576</v>
      </c>
      <c r="J357" s="42">
        <f t="shared" si="1"/>
        <v>2</v>
      </c>
      <c r="K357" s="41"/>
    </row>
    <row r="358" spans="1:11" hidden="1" x14ac:dyDescent="0.25">
      <c r="A358" s="58">
        <v>46086</v>
      </c>
      <c r="B358" s="59" t="s">
        <v>251</v>
      </c>
      <c r="C358" s="59" t="str">
        <f>IFERROR(VLOOKUP(D358,'CODIGOS ACTIVOS'!A:E,2,0), "NUEVO")</f>
        <v>NUEVO</v>
      </c>
      <c r="D358" s="60" t="s">
        <v>365</v>
      </c>
      <c r="E358" s="61">
        <v>5</v>
      </c>
      <c r="F358" s="61">
        <v>4</v>
      </c>
      <c r="G358" s="58">
        <v>46070</v>
      </c>
      <c r="H358" s="62">
        <v>1</v>
      </c>
      <c r="I358" s="60" t="s">
        <v>366</v>
      </c>
      <c r="J358" s="42">
        <f t="shared" si="1"/>
        <v>3</v>
      </c>
      <c r="K358" s="41"/>
    </row>
    <row r="359" spans="1:11" hidden="1" x14ac:dyDescent="0.25">
      <c r="A359" s="58">
        <v>46086</v>
      </c>
      <c r="B359" s="59" t="s">
        <v>251</v>
      </c>
      <c r="C359" s="59" t="str">
        <f>IFERROR(VLOOKUP(D359,'CODIGOS ACTIVOS'!A:E,2,0), "NUEVO")</f>
        <v>NUEVO</v>
      </c>
      <c r="D359" s="60" t="s">
        <v>367</v>
      </c>
      <c r="E359" s="61">
        <v>2</v>
      </c>
      <c r="F359" s="61">
        <v>2</v>
      </c>
      <c r="G359" s="58">
        <v>46070</v>
      </c>
      <c r="H359" s="62">
        <v>-2</v>
      </c>
      <c r="I359" s="60" t="s">
        <v>175</v>
      </c>
      <c r="J359" s="42">
        <f t="shared" si="1"/>
        <v>3</v>
      </c>
      <c r="K359" s="41"/>
    </row>
    <row r="360" spans="1:11" hidden="1" x14ac:dyDescent="0.25">
      <c r="A360" s="58">
        <v>46086</v>
      </c>
      <c r="B360" s="59" t="s">
        <v>251</v>
      </c>
      <c r="C360" s="59" t="str">
        <f>IFERROR(VLOOKUP(D360,'CODIGOS ACTIVOS'!A:E,2,0), "NUEVO")</f>
        <v>A258988</v>
      </c>
      <c r="D360" s="60" t="s">
        <v>25</v>
      </c>
      <c r="E360" s="61">
        <v>1</v>
      </c>
      <c r="F360" s="61"/>
      <c r="G360" s="58"/>
      <c r="H360" s="62">
        <v>-1</v>
      </c>
      <c r="I360" s="60" t="s">
        <v>368</v>
      </c>
      <c r="J360" s="42">
        <f t="shared" si="1"/>
        <v>3</v>
      </c>
      <c r="K360" s="41"/>
    </row>
    <row r="361" spans="1:11" hidden="1" x14ac:dyDescent="0.25">
      <c r="A361" s="58">
        <v>46086</v>
      </c>
      <c r="B361" s="59" t="s">
        <v>251</v>
      </c>
      <c r="C361" s="59" t="str">
        <f>IFERROR(VLOOKUP(D361,'CODIGOS ACTIVOS'!A:E,2,0), "NUEVO")</f>
        <v>A171049</v>
      </c>
      <c r="D361" s="60" t="s">
        <v>22</v>
      </c>
      <c r="E361" s="61">
        <v>3</v>
      </c>
      <c r="F361" s="61"/>
      <c r="G361" s="58"/>
      <c r="H361" s="62">
        <v>-3</v>
      </c>
      <c r="I361" s="60" t="s">
        <v>369</v>
      </c>
      <c r="J361" s="42">
        <f t="shared" si="1"/>
        <v>3</v>
      </c>
      <c r="K361" s="41"/>
    </row>
    <row r="362" spans="1:11" hidden="1" x14ac:dyDescent="0.25">
      <c r="A362" s="58">
        <v>46086</v>
      </c>
      <c r="B362" s="59" t="s">
        <v>251</v>
      </c>
      <c r="C362" s="59" t="str">
        <f>IFERROR(VLOOKUP(D362,'CODIGOS ACTIVOS'!A:E,2,0), "NUEVO")</f>
        <v>Q252815</v>
      </c>
      <c r="D362" s="60" t="s">
        <v>93</v>
      </c>
      <c r="E362" s="61">
        <v>5</v>
      </c>
      <c r="F362" s="61"/>
      <c r="G362" s="58"/>
      <c r="H362" s="62">
        <v>-5</v>
      </c>
      <c r="I362" s="60" t="s">
        <v>370</v>
      </c>
      <c r="J362" s="42">
        <f t="shared" si="1"/>
        <v>3</v>
      </c>
      <c r="K362" s="41"/>
    </row>
    <row r="363" spans="1:11" hidden="1" x14ac:dyDescent="0.25">
      <c r="A363" s="58">
        <v>46086</v>
      </c>
      <c r="B363" s="59" t="s">
        <v>251</v>
      </c>
      <c r="C363" s="59" t="str">
        <f>IFERROR(VLOOKUP(D363,'CODIGOS ACTIVOS'!A:E,2,0), "NUEVO")</f>
        <v>A251139</v>
      </c>
      <c r="D363" s="60" t="s">
        <v>30</v>
      </c>
      <c r="E363" s="61">
        <v>7</v>
      </c>
      <c r="F363" s="61">
        <v>7</v>
      </c>
      <c r="G363" s="58">
        <v>46099</v>
      </c>
      <c r="H363" s="62">
        <v>-7</v>
      </c>
      <c r="I363" s="60" t="s">
        <v>371</v>
      </c>
      <c r="J363" s="42">
        <f t="shared" si="1"/>
        <v>3</v>
      </c>
      <c r="K363" s="41"/>
    </row>
    <row r="364" spans="1:11" hidden="1" x14ac:dyDescent="0.25">
      <c r="A364" s="58">
        <v>46086</v>
      </c>
      <c r="B364" s="59" t="s">
        <v>251</v>
      </c>
      <c r="C364" s="59" t="str">
        <f>IFERROR(VLOOKUP(D364,'CODIGOS ACTIVOS'!A:E,2,0), "NUEVO")</f>
        <v>A092046</v>
      </c>
      <c r="D364" s="60" t="s">
        <v>145</v>
      </c>
      <c r="E364" s="61">
        <v>2</v>
      </c>
      <c r="F364" s="61"/>
      <c r="G364" s="58"/>
      <c r="H364" s="62">
        <v>-2</v>
      </c>
      <c r="I364" s="60" t="s">
        <v>372</v>
      </c>
      <c r="J364" s="42">
        <f t="shared" si="1"/>
        <v>3</v>
      </c>
      <c r="K364" s="41"/>
    </row>
    <row r="365" spans="1:11" hidden="1" x14ac:dyDescent="0.25">
      <c r="A365" s="58">
        <v>46086</v>
      </c>
      <c r="B365" s="59" t="s">
        <v>251</v>
      </c>
      <c r="C365" s="59" t="str">
        <f>IFERROR(VLOOKUP(D365,'CODIGOS ACTIVOS'!A:E,2,0), "NUEVO")</f>
        <v>NUEVO</v>
      </c>
      <c r="D365" s="60" t="s">
        <v>32</v>
      </c>
      <c r="E365" s="61">
        <v>1</v>
      </c>
      <c r="F365" s="61"/>
      <c r="G365" s="58"/>
      <c r="H365" s="62">
        <v>-1</v>
      </c>
      <c r="I365" s="60" t="s">
        <v>260</v>
      </c>
      <c r="J365" s="42">
        <f t="shared" si="1"/>
        <v>3</v>
      </c>
      <c r="K365" s="41"/>
    </row>
    <row r="366" spans="1:11" hidden="1" x14ac:dyDescent="0.25">
      <c r="A366" s="58">
        <v>46086</v>
      </c>
      <c r="B366" s="59" t="s">
        <v>251</v>
      </c>
      <c r="C366" s="59" t="s">
        <v>1514</v>
      </c>
      <c r="D366" s="60" t="s">
        <v>32</v>
      </c>
      <c r="E366" s="61">
        <v>1</v>
      </c>
      <c r="F366" s="61"/>
      <c r="G366" s="58"/>
      <c r="H366" s="62">
        <v>-1</v>
      </c>
      <c r="I366" s="60" t="s">
        <v>260</v>
      </c>
      <c r="J366" s="42">
        <f t="shared" si="1"/>
        <v>3</v>
      </c>
      <c r="K366" s="41"/>
    </row>
    <row r="367" spans="1:11" hidden="1" x14ac:dyDescent="0.25">
      <c r="A367" s="58">
        <v>46086</v>
      </c>
      <c r="B367" s="59" t="s">
        <v>251</v>
      </c>
      <c r="C367" s="59" t="str">
        <f>IFERROR(VLOOKUP(D367,'CODIGOS ACTIVOS'!A:E,2,0), "NUEVO")</f>
        <v>NUEVO</v>
      </c>
      <c r="D367" s="60" t="s">
        <v>129</v>
      </c>
      <c r="E367" s="61">
        <v>1</v>
      </c>
      <c r="F367" s="61"/>
      <c r="G367" s="58"/>
      <c r="H367" s="62">
        <v>-1</v>
      </c>
      <c r="I367" s="60" t="s">
        <v>260</v>
      </c>
      <c r="J367" s="42">
        <f t="shared" si="1"/>
        <v>3</v>
      </c>
      <c r="K367" s="41"/>
    </row>
    <row r="368" spans="1:11" hidden="1" x14ac:dyDescent="0.25">
      <c r="A368" s="58">
        <v>46086</v>
      </c>
      <c r="B368" s="59" t="s">
        <v>251</v>
      </c>
      <c r="C368" s="59" t="str">
        <f>IFERROR(VLOOKUP(D368,'CODIGOS ACTIVOS'!A:E,2,0), "NUEVO")</f>
        <v>NUEVO</v>
      </c>
      <c r="D368" s="60" t="s">
        <v>208</v>
      </c>
      <c r="E368" s="61">
        <v>1</v>
      </c>
      <c r="F368" s="61"/>
      <c r="G368" s="58"/>
      <c r="H368" s="62">
        <v>-1</v>
      </c>
      <c r="I368" s="60" t="s">
        <v>260</v>
      </c>
      <c r="J368" s="42">
        <f t="shared" si="1"/>
        <v>3</v>
      </c>
      <c r="K368" s="41"/>
    </row>
    <row r="369" spans="1:11" x14ac:dyDescent="0.25">
      <c r="A369" s="58">
        <v>46086</v>
      </c>
      <c r="B369" s="59" t="s">
        <v>251</v>
      </c>
      <c r="C369" s="59" t="str">
        <f>IFERROR(VLOOKUP(D369,'CODIGOS ACTIVOS'!A:E,2,0), "NUEVO")</f>
        <v>Q252732</v>
      </c>
      <c r="D369" s="60" t="s">
        <v>154</v>
      </c>
      <c r="E369" s="61">
        <v>2</v>
      </c>
      <c r="F369" s="61"/>
      <c r="G369" s="58"/>
      <c r="H369" s="62">
        <v>-2</v>
      </c>
      <c r="I369" s="60" t="s">
        <v>175</v>
      </c>
      <c r="J369" s="42">
        <f t="shared" si="1"/>
        <v>3</v>
      </c>
      <c r="K369" s="41"/>
    </row>
    <row r="370" spans="1:11" x14ac:dyDescent="0.25">
      <c r="A370" s="58">
        <v>46086</v>
      </c>
      <c r="B370" s="59" t="s">
        <v>251</v>
      </c>
      <c r="C370" s="59" t="str">
        <f>IFERROR(VLOOKUP(D370,'CODIGOS ACTIVOS'!A:E,2,0), "NUEVO")</f>
        <v>NUEVO</v>
      </c>
      <c r="D370" s="60" t="s">
        <v>373</v>
      </c>
      <c r="E370" s="61">
        <v>3</v>
      </c>
      <c r="F370" s="61"/>
      <c r="G370" s="58"/>
      <c r="H370" s="62">
        <v>-3</v>
      </c>
      <c r="I370" s="60" t="s">
        <v>374</v>
      </c>
      <c r="J370" s="42">
        <f t="shared" si="1"/>
        <v>3</v>
      </c>
      <c r="K370" s="41"/>
    </row>
    <row r="371" spans="1:11" hidden="1" x14ac:dyDescent="0.25">
      <c r="A371" s="58">
        <v>46086</v>
      </c>
      <c r="B371" s="59" t="s">
        <v>251</v>
      </c>
      <c r="C371" s="59" t="str">
        <f>IFERROR(VLOOKUP(D371,'CODIGOS ACTIVOS'!A:E,2,0), "NUEVO")</f>
        <v>NUEVO</v>
      </c>
      <c r="D371" s="60" t="s">
        <v>375</v>
      </c>
      <c r="E371" s="61">
        <v>1</v>
      </c>
      <c r="F371" s="61">
        <v>1</v>
      </c>
      <c r="G371" s="58">
        <v>46070</v>
      </c>
      <c r="H371" s="62">
        <v>-1</v>
      </c>
      <c r="I371" s="60" t="s">
        <v>368</v>
      </c>
      <c r="J371" s="42">
        <f t="shared" si="1"/>
        <v>3</v>
      </c>
      <c r="K371" s="41"/>
    </row>
    <row r="372" spans="1:11" hidden="1" x14ac:dyDescent="0.25">
      <c r="A372" s="58">
        <v>46086</v>
      </c>
      <c r="B372" s="59" t="s">
        <v>251</v>
      </c>
      <c r="C372" s="59" t="s">
        <v>231</v>
      </c>
      <c r="D372" s="60" t="s">
        <v>36</v>
      </c>
      <c r="E372" s="61">
        <v>10</v>
      </c>
      <c r="F372" s="61">
        <v>10</v>
      </c>
      <c r="G372" s="64">
        <v>46099</v>
      </c>
      <c r="H372" s="62">
        <v>-10</v>
      </c>
      <c r="I372" s="60" t="s">
        <v>376</v>
      </c>
      <c r="J372" s="42">
        <f t="shared" si="1"/>
        <v>3</v>
      </c>
      <c r="K372" s="41"/>
    </row>
    <row r="373" spans="1:11" hidden="1" x14ac:dyDescent="0.25">
      <c r="A373" s="58">
        <v>46086</v>
      </c>
      <c r="B373" s="59" t="s">
        <v>251</v>
      </c>
      <c r="C373" s="59" t="str">
        <f>IFERROR(VLOOKUP(D373,'CODIGOS ACTIVOS'!A:E,2,0), "NUEVO")</f>
        <v>Q252748</v>
      </c>
      <c r="D373" s="60" t="s">
        <v>82</v>
      </c>
      <c r="E373" s="61">
        <v>5</v>
      </c>
      <c r="F373" s="61">
        <v>5</v>
      </c>
      <c r="G373" s="58">
        <v>46099</v>
      </c>
      <c r="H373" s="62">
        <v>-5</v>
      </c>
      <c r="I373" s="60" t="s">
        <v>370</v>
      </c>
      <c r="J373" s="42">
        <f t="shared" si="1"/>
        <v>3</v>
      </c>
      <c r="K373" s="41"/>
    </row>
    <row r="374" spans="1:11" hidden="1" x14ac:dyDescent="0.25">
      <c r="A374" s="58">
        <v>46086</v>
      </c>
      <c r="B374" s="59" t="s">
        <v>251</v>
      </c>
      <c r="C374" s="59" t="str">
        <f>IFERROR(VLOOKUP(D374,'CODIGOS ACTIVOS'!A:E,2,0), "NUEVO")</f>
        <v>NUEVO</v>
      </c>
      <c r="D374" s="60" t="s">
        <v>377</v>
      </c>
      <c r="E374" s="61">
        <v>1</v>
      </c>
      <c r="F374" s="61"/>
      <c r="G374" s="58"/>
      <c r="H374" s="62">
        <v>-1</v>
      </c>
      <c r="I374" s="60" t="s">
        <v>378</v>
      </c>
      <c r="J374" s="42">
        <f t="shared" si="1"/>
        <v>3</v>
      </c>
      <c r="K374" s="41"/>
    </row>
    <row r="375" spans="1:11" x14ac:dyDescent="0.25">
      <c r="A375" s="58">
        <v>46086</v>
      </c>
      <c r="B375" s="59"/>
      <c r="C375" s="59" t="s">
        <v>1577</v>
      </c>
      <c r="D375" s="60" t="s">
        <v>44</v>
      </c>
      <c r="E375" s="61">
        <v>2</v>
      </c>
      <c r="F375" s="61">
        <v>2</v>
      </c>
      <c r="G375" s="58">
        <v>46099</v>
      </c>
      <c r="H375" s="49">
        <f>F375-E375</f>
        <v>0</v>
      </c>
      <c r="I375" s="60" t="s">
        <v>1578</v>
      </c>
      <c r="J375" s="42">
        <f t="shared" si="1"/>
        <v>3</v>
      </c>
      <c r="K375" s="41"/>
    </row>
    <row r="376" spans="1:11" hidden="1" x14ac:dyDescent="0.25">
      <c r="A376" s="58">
        <v>46086</v>
      </c>
      <c r="B376" s="59"/>
      <c r="C376" s="59" t="s">
        <v>126</v>
      </c>
      <c r="D376" s="60" t="s">
        <v>127</v>
      </c>
      <c r="E376" s="61">
        <v>5</v>
      </c>
      <c r="F376" s="61">
        <v>5</v>
      </c>
      <c r="G376" s="58">
        <v>46099</v>
      </c>
      <c r="H376" s="62">
        <v>-5</v>
      </c>
      <c r="I376" s="60" t="s">
        <v>1579</v>
      </c>
      <c r="J376" s="42">
        <f t="shared" si="1"/>
        <v>3</v>
      </c>
      <c r="K376" s="41"/>
    </row>
    <row r="377" spans="1:11" hidden="1" x14ac:dyDescent="0.25">
      <c r="A377" s="58">
        <v>46086</v>
      </c>
      <c r="B377" s="59"/>
      <c r="C377" s="59" t="s">
        <v>185</v>
      </c>
      <c r="D377" s="60" t="s">
        <v>186</v>
      </c>
      <c r="E377" s="61">
        <v>5</v>
      </c>
      <c r="F377" s="61">
        <v>5</v>
      </c>
      <c r="G377" s="58">
        <v>46132</v>
      </c>
      <c r="H377" s="62">
        <v>-5</v>
      </c>
      <c r="I377" s="60" t="s">
        <v>1579</v>
      </c>
      <c r="J377" s="42">
        <f t="shared" si="1"/>
        <v>3</v>
      </c>
      <c r="K377" s="41"/>
    </row>
    <row r="378" spans="1:11" hidden="1" x14ac:dyDescent="0.25">
      <c r="A378" s="58">
        <v>46086</v>
      </c>
      <c r="B378" s="59"/>
      <c r="C378" s="59" t="s">
        <v>53</v>
      </c>
      <c r="D378" s="60" t="s">
        <v>54</v>
      </c>
      <c r="E378" s="61">
        <v>5</v>
      </c>
      <c r="F378" s="61">
        <v>3</v>
      </c>
      <c r="G378" s="58">
        <v>46099</v>
      </c>
      <c r="H378" s="62">
        <v>2</v>
      </c>
      <c r="I378" s="60" t="s">
        <v>258</v>
      </c>
      <c r="J378" s="42">
        <f t="shared" si="1"/>
        <v>3</v>
      </c>
      <c r="K378" s="41"/>
    </row>
    <row r="379" spans="1:11" hidden="1" x14ac:dyDescent="0.25">
      <c r="A379" s="58">
        <v>46086</v>
      </c>
      <c r="B379" s="59"/>
      <c r="C379" s="59" t="s">
        <v>27</v>
      </c>
      <c r="D379" s="60" t="s">
        <v>28</v>
      </c>
      <c r="E379" s="61">
        <v>5</v>
      </c>
      <c r="F379" s="61">
        <v>4</v>
      </c>
      <c r="G379" s="58">
        <v>46099</v>
      </c>
      <c r="H379" s="62">
        <v>-5</v>
      </c>
      <c r="I379" s="60" t="s">
        <v>258</v>
      </c>
      <c r="J379" s="42">
        <f t="shared" si="1"/>
        <v>3</v>
      </c>
      <c r="K379" s="41"/>
    </row>
    <row r="380" spans="1:11" hidden="1" x14ac:dyDescent="0.25">
      <c r="A380" s="58">
        <v>46086</v>
      </c>
      <c r="B380" s="59"/>
      <c r="C380" s="59" t="s">
        <v>46</v>
      </c>
      <c r="D380" s="60" t="s">
        <v>47</v>
      </c>
      <c r="E380" s="61">
        <v>5</v>
      </c>
      <c r="F380" s="61">
        <v>5</v>
      </c>
      <c r="G380" s="58">
        <v>46099</v>
      </c>
      <c r="H380" s="62">
        <v>-5</v>
      </c>
      <c r="I380" s="60" t="s">
        <v>1580</v>
      </c>
      <c r="J380" s="42">
        <f t="shared" si="1"/>
        <v>3</v>
      </c>
      <c r="K380" s="41"/>
    </row>
    <row r="381" spans="1:11" x14ac:dyDescent="0.25">
      <c r="A381" s="58">
        <v>46086</v>
      </c>
      <c r="B381" s="59"/>
      <c r="C381" s="59" t="s">
        <v>156</v>
      </c>
      <c r="D381" s="60" t="s">
        <v>157</v>
      </c>
      <c r="E381" s="61">
        <v>3</v>
      </c>
      <c r="F381" s="61">
        <v>1</v>
      </c>
      <c r="G381" s="58">
        <v>46148</v>
      </c>
      <c r="H381" s="49">
        <f>F381-E381</f>
        <v>-2</v>
      </c>
      <c r="I381" s="60" t="s">
        <v>128</v>
      </c>
      <c r="J381" s="42">
        <f t="shared" si="1"/>
        <v>3</v>
      </c>
      <c r="K381" s="41"/>
    </row>
    <row r="382" spans="1:11" hidden="1" x14ac:dyDescent="0.25">
      <c r="A382" s="58">
        <v>46086</v>
      </c>
      <c r="B382" s="59"/>
      <c r="C382" s="59" t="s">
        <v>14</v>
      </c>
      <c r="D382" s="60" t="s">
        <v>1581</v>
      </c>
      <c r="E382" s="61">
        <v>7</v>
      </c>
      <c r="F382" s="61"/>
      <c r="G382" s="58"/>
      <c r="H382" s="62">
        <v>7</v>
      </c>
      <c r="I382" s="60" t="s">
        <v>1582</v>
      </c>
      <c r="J382" s="42">
        <f t="shared" ref="J382:J437" si="2">MONTH(A382)</f>
        <v>3</v>
      </c>
      <c r="K382" s="41"/>
    </row>
    <row r="383" spans="1:11" hidden="1" x14ac:dyDescent="0.25">
      <c r="A383" s="58">
        <v>46086</v>
      </c>
      <c r="B383" s="59"/>
      <c r="C383" s="59" t="s">
        <v>14</v>
      </c>
      <c r="D383" s="60" t="s">
        <v>1583</v>
      </c>
      <c r="E383" s="61">
        <v>1</v>
      </c>
      <c r="F383" s="61"/>
      <c r="G383" s="58"/>
      <c r="H383" s="62">
        <v>1</v>
      </c>
      <c r="I383" s="60" t="s">
        <v>368</v>
      </c>
      <c r="J383" s="42">
        <f t="shared" si="2"/>
        <v>3</v>
      </c>
      <c r="K383" s="41"/>
    </row>
    <row r="384" spans="1:11" hidden="1" x14ac:dyDescent="0.25">
      <c r="A384" s="58">
        <v>46122</v>
      </c>
      <c r="B384" s="59"/>
      <c r="C384" s="45" t="s">
        <v>29</v>
      </c>
      <c r="D384" s="46" t="s">
        <v>30</v>
      </c>
      <c r="E384" s="47">
        <v>7</v>
      </c>
      <c r="F384" s="45">
        <v>7</v>
      </c>
      <c r="G384" s="48">
        <v>46155</v>
      </c>
      <c r="H384" s="49">
        <f t="shared" ref="H384:H401" si="3">F384-E384</f>
        <v>0</v>
      </c>
      <c r="I384" s="50" t="s">
        <v>371</v>
      </c>
      <c r="J384" s="42">
        <f t="shared" si="2"/>
        <v>4</v>
      </c>
      <c r="K384" s="41"/>
    </row>
    <row r="385" spans="1:11" hidden="1" x14ac:dyDescent="0.25">
      <c r="A385" s="58">
        <v>46122</v>
      </c>
      <c r="B385" s="59"/>
      <c r="C385" s="45" t="s">
        <v>231</v>
      </c>
      <c r="D385" s="46" t="s">
        <v>36</v>
      </c>
      <c r="E385" s="47">
        <v>10</v>
      </c>
      <c r="F385" s="45">
        <v>10</v>
      </c>
      <c r="G385" s="48">
        <v>46148</v>
      </c>
      <c r="H385" s="49">
        <f t="shared" si="3"/>
        <v>0</v>
      </c>
      <c r="I385" s="50" t="s">
        <v>376</v>
      </c>
      <c r="J385" s="42">
        <f t="shared" si="2"/>
        <v>4</v>
      </c>
      <c r="K385" s="41"/>
    </row>
    <row r="386" spans="1:11" hidden="1" x14ac:dyDescent="0.25">
      <c r="A386" s="58">
        <v>46122</v>
      </c>
      <c r="B386" s="59"/>
      <c r="C386" s="45" t="s">
        <v>81</v>
      </c>
      <c r="D386" s="46" t="s">
        <v>82</v>
      </c>
      <c r="E386" s="47">
        <v>5</v>
      </c>
      <c r="F386" s="45">
        <v>5</v>
      </c>
      <c r="G386" s="48">
        <v>46182</v>
      </c>
      <c r="H386" s="49">
        <f t="shared" si="3"/>
        <v>0</v>
      </c>
      <c r="I386" s="51" t="s">
        <v>370</v>
      </c>
      <c r="J386" s="42">
        <f t="shared" si="2"/>
        <v>4</v>
      </c>
      <c r="K386" s="41"/>
    </row>
    <row r="387" spans="1:11" x14ac:dyDescent="0.25">
      <c r="A387" s="58">
        <v>46122</v>
      </c>
      <c r="B387" s="59"/>
      <c r="C387" s="45" t="s">
        <v>1577</v>
      </c>
      <c r="D387" s="46" t="s">
        <v>44</v>
      </c>
      <c r="E387" s="47">
        <v>5</v>
      </c>
      <c r="F387" s="45"/>
      <c r="G387" s="48"/>
      <c r="H387" s="49">
        <f t="shared" si="3"/>
        <v>-5</v>
      </c>
      <c r="I387" s="51" t="s">
        <v>1578</v>
      </c>
      <c r="J387" s="42">
        <f t="shared" si="2"/>
        <v>4</v>
      </c>
      <c r="K387" s="41"/>
    </row>
    <row r="388" spans="1:11" hidden="1" x14ac:dyDescent="0.25">
      <c r="A388" s="58">
        <v>46122</v>
      </c>
      <c r="B388" s="59"/>
      <c r="C388" s="45" t="s">
        <v>126</v>
      </c>
      <c r="D388" s="46" t="s">
        <v>127</v>
      </c>
      <c r="E388" s="47">
        <v>3</v>
      </c>
      <c r="F388" s="45">
        <v>3</v>
      </c>
      <c r="G388" s="48">
        <v>46148</v>
      </c>
      <c r="H388" s="49">
        <f t="shared" si="3"/>
        <v>0</v>
      </c>
      <c r="I388" s="51" t="s">
        <v>1584</v>
      </c>
      <c r="J388" s="42">
        <f t="shared" si="2"/>
        <v>4</v>
      </c>
      <c r="K388" s="41"/>
    </row>
    <row r="389" spans="1:11" hidden="1" x14ac:dyDescent="0.25">
      <c r="A389" s="58">
        <v>46122</v>
      </c>
      <c r="B389" s="59"/>
      <c r="C389" s="45" t="s">
        <v>185</v>
      </c>
      <c r="D389" s="46" t="s">
        <v>186</v>
      </c>
      <c r="E389" s="47">
        <v>3</v>
      </c>
      <c r="F389" s="45">
        <v>2</v>
      </c>
      <c r="G389" s="48">
        <v>46118</v>
      </c>
      <c r="H389" s="49">
        <f t="shared" si="3"/>
        <v>-1</v>
      </c>
      <c r="I389" s="51" t="s">
        <v>1584</v>
      </c>
      <c r="J389" s="42">
        <f t="shared" si="2"/>
        <v>4</v>
      </c>
      <c r="K389" s="41"/>
    </row>
    <row r="390" spans="1:11" hidden="1" x14ac:dyDescent="0.25">
      <c r="A390" s="58">
        <v>46122</v>
      </c>
      <c r="B390" s="59"/>
      <c r="C390" s="45" t="s">
        <v>27</v>
      </c>
      <c r="D390" s="46" t="s">
        <v>28</v>
      </c>
      <c r="E390" s="47">
        <v>5</v>
      </c>
      <c r="F390" s="45">
        <v>5</v>
      </c>
      <c r="G390" s="48">
        <v>46155</v>
      </c>
      <c r="H390" s="49">
        <f t="shared" si="3"/>
        <v>0</v>
      </c>
      <c r="I390" s="50" t="s">
        <v>258</v>
      </c>
      <c r="J390" s="42">
        <f t="shared" si="2"/>
        <v>4</v>
      </c>
      <c r="K390" s="41"/>
    </row>
    <row r="391" spans="1:11" hidden="1" x14ac:dyDescent="0.25">
      <c r="A391" s="58">
        <v>46122</v>
      </c>
      <c r="B391" s="59"/>
      <c r="C391" s="45" t="s">
        <v>46</v>
      </c>
      <c r="D391" s="46" t="s">
        <v>47</v>
      </c>
      <c r="E391" s="47">
        <v>5</v>
      </c>
      <c r="F391" s="45">
        <v>5</v>
      </c>
      <c r="G391" s="48">
        <v>46155</v>
      </c>
      <c r="H391" s="49">
        <f t="shared" si="3"/>
        <v>0</v>
      </c>
      <c r="I391" s="50" t="s">
        <v>1580</v>
      </c>
      <c r="J391" s="42">
        <f t="shared" si="2"/>
        <v>4</v>
      </c>
      <c r="K391" s="41"/>
    </row>
    <row r="392" spans="1:11" x14ac:dyDescent="0.25">
      <c r="A392" s="58">
        <v>46122</v>
      </c>
      <c r="B392" s="59"/>
      <c r="C392" s="45"/>
      <c r="D392" s="46" t="s">
        <v>1585</v>
      </c>
      <c r="E392" s="47">
        <v>2</v>
      </c>
      <c r="F392" s="45"/>
      <c r="G392" s="48"/>
      <c r="H392" s="49">
        <f t="shared" si="3"/>
        <v>-2</v>
      </c>
      <c r="I392" s="50" t="s">
        <v>1586</v>
      </c>
      <c r="J392" s="42">
        <f t="shared" si="2"/>
        <v>4</v>
      </c>
      <c r="K392" s="41"/>
    </row>
    <row r="393" spans="1:11" hidden="1" x14ac:dyDescent="0.25">
      <c r="A393" s="58">
        <v>46122</v>
      </c>
      <c r="B393" s="59"/>
      <c r="C393" s="45" t="s">
        <v>24</v>
      </c>
      <c r="D393" s="46" t="s">
        <v>25</v>
      </c>
      <c r="E393" s="47">
        <v>1</v>
      </c>
      <c r="F393" s="45">
        <v>1</v>
      </c>
      <c r="G393" s="48">
        <v>46182</v>
      </c>
      <c r="H393" s="49">
        <f t="shared" si="3"/>
        <v>0</v>
      </c>
      <c r="I393" s="50" t="s">
        <v>1587</v>
      </c>
      <c r="J393" s="42">
        <f t="shared" si="2"/>
        <v>4</v>
      </c>
      <c r="K393" s="41"/>
    </row>
    <row r="394" spans="1:11" hidden="1" x14ac:dyDescent="0.25">
      <c r="A394" s="58">
        <v>46122</v>
      </c>
      <c r="B394" s="59"/>
      <c r="C394" s="45" t="s">
        <v>121</v>
      </c>
      <c r="D394" s="46" t="s">
        <v>122</v>
      </c>
      <c r="E394" s="47">
        <v>3</v>
      </c>
      <c r="F394" s="45"/>
      <c r="G394" s="48"/>
      <c r="H394" s="49">
        <f t="shared" si="3"/>
        <v>-3</v>
      </c>
      <c r="I394" s="50" t="s">
        <v>1588</v>
      </c>
      <c r="J394" s="42">
        <f t="shared" si="2"/>
        <v>4</v>
      </c>
      <c r="K394" s="41"/>
    </row>
    <row r="395" spans="1:11" hidden="1" x14ac:dyDescent="0.25">
      <c r="A395" s="58">
        <v>46122</v>
      </c>
      <c r="B395" s="59"/>
      <c r="C395" s="45" t="s">
        <v>18</v>
      </c>
      <c r="D395" s="46" t="s">
        <v>19</v>
      </c>
      <c r="E395" s="47">
        <v>5</v>
      </c>
      <c r="F395" s="45">
        <v>5</v>
      </c>
      <c r="G395" s="48">
        <v>46190</v>
      </c>
      <c r="H395" s="49">
        <f t="shared" si="3"/>
        <v>0</v>
      </c>
      <c r="I395" s="50" t="s">
        <v>1589</v>
      </c>
      <c r="J395" s="42">
        <f t="shared" si="2"/>
        <v>4</v>
      </c>
      <c r="K395" s="41"/>
    </row>
    <row r="396" spans="1:11" hidden="1" x14ac:dyDescent="0.25">
      <c r="A396" s="58">
        <v>46122</v>
      </c>
      <c r="B396" s="59"/>
      <c r="C396" s="45" t="s">
        <v>71</v>
      </c>
      <c r="D396" s="60" t="s">
        <v>32</v>
      </c>
      <c r="E396" s="47">
        <v>1</v>
      </c>
      <c r="F396" s="45">
        <v>1</v>
      </c>
      <c r="G396" s="48">
        <v>46182</v>
      </c>
      <c r="H396" s="49">
        <f t="shared" si="3"/>
        <v>0</v>
      </c>
      <c r="I396" s="50" t="s">
        <v>260</v>
      </c>
      <c r="J396" s="42">
        <f t="shared" si="2"/>
        <v>4</v>
      </c>
      <c r="K396" s="41"/>
    </row>
    <row r="397" spans="1:11" hidden="1" x14ac:dyDescent="0.25">
      <c r="A397" s="58">
        <v>46122</v>
      </c>
      <c r="B397" s="59"/>
      <c r="C397" s="45"/>
      <c r="D397" s="46" t="s">
        <v>1590</v>
      </c>
      <c r="E397" s="47">
        <v>10</v>
      </c>
      <c r="F397" s="45"/>
      <c r="G397" s="48"/>
      <c r="H397" s="49">
        <f t="shared" si="3"/>
        <v>-10</v>
      </c>
      <c r="I397" s="50" t="s">
        <v>1591</v>
      </c>
      <c r="J397" s="42">
        <f t="shared" si="2"/>
        <v>4</v>
      </c>
      <c r="K397" s="41"/>
    </row>
    <row r="398" spans="1:11" x14ac:dyDescent="0.25">
      <c r="A398" s="58">
        <v>46122</v>
      </c>
      <c r="B398" s="59"/>
      <c r="C398" s="45" t="s">
        <v>33</v>
      </c>
      <c r="D398" s="46" t="s">
        <v>154</v>
      </c>
      <c r="E398" s="47">
        <v>4</v>
      </c>
      <c r="F398" s="45"/>
      <c r="G398" s="48"/>
      <c r="H398" s="49">
        <f t="shared" si="3"/>
        <v>-4</v>
      </c>
      <c r="I398" s="50" t="s">
        <v>1592</v>
      </c>
      <c r="J398" s="42">
        <f t="shared" si="2"/>
        <v>4</v>
      </c>
      <c r="K398" s="41"/>
    </row>
    <row r="399" spans="1:11" x14ac:dyDescent="0.25">
      <c r="A399" s="58">
        <v>46122</v>
      </c>
      <c r="B399" s="59"/>
      <c r="C399" s="45"/>
      <c r="D399" s="46" t="s">
        <v>1593</v>
      </c>
      <c r="E399" s="47">
        <v>4</v>
      </c>
      <c r="F399" s="45">
        <v>1</v>
      </c>
      <c r="G399" s="48">
        <v>46190</v>
      </c>
      <c r="H399" s="49">
        <f t="shared" si="3"/>
        <v>-3</v>
      </c>
      <c r="I399" s="50" t="s">
        <v>1592</v>
      </c>
      <c r="J399" s="42">
        <f t="shared" si="2"/>
        <v>4</v>
      </c>
      <c r="K399" s="41"/>
    </row>
    <row r="400" spans="1:11" x14ac:dyDescent="0.25">
      <c r="A400" s="58">
        <v>46122</v>
      </c>
      <c r="B400" s="59"/>
      <c r="C400" s="45"/>
      <c r="D400" s="46" t="s">
        <v>1594</v>
      </c>
      <c r="E400" s="47">
        <v>2</v>
      </c>
      <c r="F400" s="45"/>
      <c r="G400" s="48"/>
      <c r="H400" s="49">
        <f t="shared" si="3"/>
        <v>-2</v>
      </c>
      <c r="I400" s="50" t="s">
        <v>1595</v>
      </c>
      <c r="J400" s="42">
        <f t="shared" si="2"/>
        <v>4</v>
      </c>
      <c r="K400" s="41"/>
    </row>
    <row r="401" spans="1:12" hidden="1" x14ac:dyDescent="0.25">
      <c r="A401" s="58">
        <v>46132</v>
      </c>
      <c r="B401" s="59" t="s">
        <v>1596</v>
      </c>
      <c r="C401" s="65" t="s">
        <v>574</v>
      </c>
      <c r="D401" s="66" t="s">
        <v>573</v>
      </c>
      <c r="E401" s="47">
        <v>3</v>
      </c>
      <c r="F401" s="65">
        <v>3</v>
      </c>
      <c r="G401" s="67">
        <v>46132</v>
      </c>
      <c r="H401" s="49">
        <f t="shared" si="3"/>
        <v>0</v>
      </c>
      <c r="I401" s="50"/>
      <c r="J401" s="42">
        <f t="shared" si="2"/>
        <v>4</v>
      </c>
      <c r="K401" s="41"/>
      <c r="L401" t="s">
        <v>1597</v>
      </c>
    </row>
    <row r="402" spans="1:12" hidden="1" x14ac:dyDescent="0.25">
      <c r="A402" s="58">
        <v>46132</v>
      </c>
      <c r="B402" s="59" t="s">
        <v>1596</v>
      </c>
      <c r="C402" s="65" t="s">
        <v>27</v>
      </c>
      <c r="D402" s="66" t="s">
        <v>28</v>
      </c>
      <c r="E402" s="47">
        <v>2</v>
      </c>
      <c r="F402" s="65">
        <v>2</v>
      </c>
      <c r="G402" s="67">
        <v>46132</v>
      </c>
      <c r="H402" s="49"/>
      <c r="I402" s="50"/>
      <c r="J402" s="42">
        <f t="shared" si="2"/>
        <v>4</v>
      </c>
      <c r="K402" s="41"/>
    </row>
    <row r="403" spans="1:12" hidden="1" x14ac:dyDescent="0.25">
      <c r="A403" s="58">
        <v>46132</v>
      </c>
      <c r="B403" s="59" t="s">
        <v>1596</v>
      </c>
      <c r="C403" s="65" t="s">
        <v>46</v>
      </c>
      <c r="D403" s="66" t="s">
        <v>47</v>
      </c>
      <c r="E403" s="47">
        <v>2</v>
      </c>
      <c r="F403" s="65">
        <v>2</v>
      </c>
      <c r="G403" s="67">
        <v>46132</v>
      </c>
      <c r="H403" s="49"/>
      <c r="I403" s="50"/>
      <c r="J403" s="42">
        <f t="shared" si="2"/>
        <v>4</v>
      </c>
      <c r="K403" s="41"/>
    </row>
    <row r="404" spans="1:12" hidden="1" x14ac:dyDescent="0.25">
      <c r="A404" s="58">
        <v>46153</v>
      </c>
      <c r="B404" s="50"/>
      <c r="C404" s="45" t="s">
        <v>29</v>
      </c>
      <c r="D404" s="46" t="s">
        <v>30</v>
      </c>
      <c r="E404" s="47">
        <v>7</v>
      </c>
      <c r="F404" s="45"/>
      <c r="G404" s="48"/>
      <c r="H404" s="49">
        <f t="shared" ref="H404:H435" si="4">F404-E404</f>
        <v>-7</v>
      </c>
      <c r="I404" s="50" t="s">
        <v>371</v>
      </c>
      <c r="J404" s="42">
        <f t="shared" si="2"/>
        <v>5</v>
      </c>
      <c r="K404" s="41"/>
    </row>
    <row r="405" spans="1:12" hidden="1" x14ac:dyDescent="0.25">
      <c r="A405" s="58">
        <v>46153</v>
      </c>
      <c r="B405" s="68" t="s">
        <v>1598</v>
      </c>
      <c r="C405" s="45" t="s">
        <v>81</v>
      </c>
      <c r="D405" s="46" t="s">
        <v>82</v>
      </c>
      <c r="E405" s="47">
        <v>5</v>
      </c>
      <c r="F405" s="45"/>
      <c r="G405" s="48"/>
      <c r="H405" s="49">
        <f t="shared" si="4"/>
        <v>-5</v>
      </c>
      <c r="I405" s="51" t="s">
        <v>370</v>
      </c>
      <c r="J405" s="42">
        <f t="shared" si="2"/>
        <v>5</v>
      </c>
      <c r="K405" s="41"/>
    </row>
    <row r="406" spans="1:12" x14ac:dyDescent="0.25">
      <c r="A406" s="58">
        <v>46153</v>
      </c>
      <c r="B406" s="68" t="s">
        <v>1598</v>
      </c>
      <c r="C406" s="45" t="s">
        <v>1577</v>
      </c>
      <c r="D406" s="46" t="s">
        <v>44</v>
      </c>
      <c r="E406" s="47">
        <v>5</v>
      </c>
      <c r="F406" s="45">
        <v>5</v>
      </c>
      <c r="G406" s="48">
        <v>46182</v>
      </c>
      <c r="H406" s="49">
        <f t="shared" si="4"/>
        <v>0</v>
      </c>
      <c r="I406" s="51" t="s">
        <v>1578</v>
      </c>
      <c r="J406" s="42">
        <f t="shared" si="2"/>
        <v>5</v>
      </c>
      <c r="K406" s="41"/>
    </row>
    <row r="407" spans="1:12" hidden="1" x14ac:dyDescent="0.25">
      <c r="A407" s="58">
        <v>46153</v>
      </c>
      <c r="B407" s="50"/>
      <c r="C407" s="45" t="s">
        <v>27</v>
      </c>
      <c r="D407" s="46" t="s">
        <v>28</v>
      </c>
      <c r="E407" s="47">
        <v>5</v>
      </c>
      <c r="F407" s="45">
        <v>5</v>
      </c>
      <c r="G407" s="48">
        <v>46190</v>
      </c>
      <c r="H407" s="49">
        <f t="shared" si="4"/>
        <v>0</v>
      </c>
      <c r="I407" s="50" t="s">
        <v>258</v>
      </c>
      <c r="J407" s="42">
        <f t="shared" si="2"/>
        <v>5</v>
      </c>
      <c r="K407" s="41"/>
    </row>
    <row r="408" spans="1:12" x14ac:dyDescent="0.25">
      <c r="A408" s="58">
        <v>46153</v>
      </c>
      <c r="B408" s="68" t="s">
        <v>1598</v>
      </c>
      <c r="C408" s="45"/>
      <c r="D408" s="46" t="s">
        <v>1585</v>
      </c>
      <c r="E408" s="47">
        <v>2</v>
      </c>
      <c r="F408" s="45">
        <v>2</v>
      </c>
      <c r="G408" s="48">
        <v>46182</v>
      </c>
      <c r="H408" s="49">
        <f t="shared" si="4"/>
        <v>0</v>
      </c>
      <c r="I408" s="50" t="s">
        <v>1586</v>
      </c>
      <c r="J408" s="42">
        <f t="shared" si="2"/>
        <v>5</v>
      </c>
      <c r="K408" s="41"/>
    </row>
    <row r="409" spans="1:12" hidden="1" x14ac:dyDescent="0.25">
      <c r="A409" s="58">
        <v>46153</v>
      </c>
      <c r="B409" s="68" t="s">
        <v>1598</v>
      </c>
      <c r="C409" s="45" t="s">
        <v>24</v>
      </c>
      <c r="D409" s="46" t="s">
        <v>25</v>
      </c>
      <c r="E409" s="47">
        <v>1</v>
      </c>
      <c r="F409" s="45"/>
      <c r="G409" s="48"/>
      <c r="H409" s="49">
        <f t="shared" si="4"/>
        <v>-1</v>
      </c>
      <c r="I409" s="50" t="s">
        <v>1587</v>
      </c>
      <c r="J409" s="42">
        <f t="shared" si="2"/>
        <v>5</v>
      </c>
      <c r="K409" s="41"/>
    </row>
    <row r="410" spans="1:12" hidden="1" x14ac:dyDescent="0.25">
      <c r="A410" s="58">
        <v>46153</v>
      </c>
      <c r="B410" s="68" t="s">
        <v>1598</v>
      </c>
      <c r="C410" s="45" t="s">
        <v>121</v>
      </c>
      <c r="D410" s="46" t="s">
        <v>122</v>
      </c>
      <c r="E410" s="47">
        <v>3</v>
      </c>
      <c r="F410" s="45"/>
      <c r="G410" s="48"/>
      <c r="H410" s="49">
        <f t="shared" si="4"/>
        <v>-3</v>
      </c>
      <c r="I410" s="50" t="s">
        <v>1588</v>
      </c>
      <c r="J410" s="42">
        <f t="shared" si="2"/>
        <v>5</v>
      </c>
      <c r="K410" s="41"/>
    </row>
    <row r="411" spans="1:12" hidden="1" x14ac:dyDescent="0.25">
      <c r="A411" s="58">
        <v>46153</v>
      </c>
      <c r="B411" s="68" t="s">
        <v>1598</v>
      </c>
      <c r="C411" s="45" t="s">
        <v>18</v>
      </c>
      <c r="D411" s="46" t="s">
        <v>19</v>
      </c>
      <c r="E411" s="47">
        <v>5</v>
      </c>
      <c r="F411" s="45"/>
      <c r="G411" s="48"/>
      <c r="H411" s="49">
        <f t="shared" si="4"/>
        <v>-5</v>
      </c>
      <c r="I411" s="50" t="s">
        <v>1589</v>
      </c>
      <c r="J411" s="42">
        <f t="shared" si="2"/>
        <v>5</v>
      </c>
      <c r="K411" s="41"/>
    </row>
    <row r="412" spans="1:12" hidden="1" x14ac:dyDescent="0.25">
      <c r="A412" s="58">
        <v>46153</v>
      </c>
      <c r="B412" s="68" t="s">
        <v>1598</v>
      </c>
      <c r="C412" s="45" t="s">
        <v>71</v>
      </c>
      <c r="D412" s="60" t="s">
        <v>32</v>
      </c>
      <c r="E412" s="47">
        <v>1</v>
      </c>
      <c r="F412" s="45"/>
      <c r="G412" s="48"/>
      <c r="H412" s="49">
        <f t="shared" si="4"/>
        <v>-1</v>
      </c>
      <c r="I412" s="50" t="s">
        <v>260</v>
      </c>
      <c r="J412" s="42">
        <f t="shared" si="2"/>
        <v>5</v>
      </c>
      <c r="K412" s="41"/>
    </row>
    <row r="413" spans="1:12" hidden="1" x14ac:dyDescent="0.25">
      <c r="A413" s="58">
        <v>46153</v>
      </c>
      <c r="B413" s="68" t="s">
        <v>1598</v>
      </c>
      <c r="C413" s="45"/>
      <c r="D413" s="46" t="s">
        <v>1590</v>
      </c>
      <c r="E413" s="47">
        <v>10</v>
      </c>
      <c r="F413" s="45">
        <v>10</v>
      </c>
      <c r="G413" s="48">
        <v>46182</v>
      </c>
      <c r="H413" s="49">
        <f t="shared" si="4"/>
        <v>0</v>
      </c>
      <c r="I413" s="50" t="s">
        <v>1591</v>
      </c>
      <c r="J413" s="42">
        <f t="shared" si="2"/>
        <v>5</v>
      </c>
      <c r="K413" s="41"/>
    </row>
    <row r="414" spans="1:12" x14ac:dyDescent="0.25">
      <c r="A414" s="58">
        <v>46153</v>
      </c>
      <c r="B414" s="68" t="s">
        <v>1598</v>
      </c>
      <c r="C414" s="45" t="s">
        <v>33</v>
      </c>
      <c r="D414" s="46" t="s">
        <v>154</v>
      </c>
      <c r="E414" s="47">
        <v>4</v>
      </c>
      <c r="F414" s="45"/>
      <c r="G414" s="48"/>
      <c r="H414" s="49">
        <f t="shared" si="4"/>
        <v>-4</v>
      </c>
      <c r="I414" s="50" t="s">
        <v>1592</v>
      </c>
      <c r="J414" s="42">
        <f t="shared" si="2"/>
        <v>5</v>
      </c>
      <c r="K414" s="41"/>
    </row>
    <row r="415" spans="1:12" x14ac:dyDescent="0.25">
      <c r="A415" s="58">
        <v>46153</v>
      </c>
      <c r="B415" s="68" t="s">
        <v>1598</v>
      </c>
      <c r="C415" s="45"/>
      <c r="D415" s="46" t="s">
        <v>1593</v>
      </c>
      <c r="E415" s="47">
        <v>4</v>
      </c>
      <c r="F415" s="45"/>
      <c r="G415" s="48"/>
      <c r="H415" s="49">
        <f t="shared" si="4"/>
        <v>-4</v>
      </c>
      <c r="I415" s="50" t="s">
        <v>1592</v>
      </c>
      <c r="J415" s="42">
        <f t="shared" si="2"/>
        <v>5</v>
      </c>
      <c r="K415" s="41"/>
    </row>
    <row r="416" spans="1:12" x14ac:dyDescent="0.25">
      <c r="A416" s="58">
        <v>46153</v>
      </c>
      <c r="B416" s="68" t="s">
        <v>1598</v>
      </c>
      <c r="C416" s="45"/>
      <c r="D416" s="46" t="s">
        <v>1594</v>
      </c>
      <c r="E416" s="47">
        <v>2</v>
      </c>
      <c r="F416" s="45"/>
      <c r="G416" s="48"/>
      <c r="H416" s="49">
        <f t="shared" si="4"/>
        <v>-2</v>
      </c>
      <c r="I416" s="50" t="s">
        <v>1595</v>
      </c>
      <c r="J416" s="42">
        <f t="shared" si="2"/>
        <v>5</v>
      </c>
      <c r="K416" s="41"/>
    </row>
    <row r="417" spans="1:11" hidden="1" x14ac:dyDescent="0.25">
      <c r="A417" s="58">
        <v>46153</v>
      </c>
      <c r="B417" s="50"/>
      <c r="C417" s="45" t="s">
        <v>65</v>
      </c>
      <c r="D417" s="46" t="s">
        <v>66</v>
      </c>
      <c r="E417" s="52">
        <v>2</v>
      </c>
      <c r="F417" s="45"/>
      <c r="G417" s="48"/>
      <c r="H417" s="49">
        <f t="shared" si="4"/>
        <v>-2</v>
      </c>
      <c r="I417" s="50" t="s">
        <v>45</v>
      </c>
      <c r="J417" s="42">
        <f t="shared" si="2"/>
        <v>5</v>
      </c>
      <c r="K417" s="41"/>
    </row>
    <row r="418" spans="1:11" hidden="1" x14ac:dyDescent="0.25">
      <c r="A418" s="58">
        <v>46182</v>
      </c>
      <c r="B418" s="50"/>
      <c r="C418" s="45" t="s">
        <v>29</v>
      </c>
      <c r="D418" s="46" t="s">
        <v>30</v>
      </c>
      <c r="E418" s="47">
        <v>7</v>
      </c>
      <c r="F418" s="45">
        <v>7</v>
      </c>
      <c r="G418" s="48">
        <v>46190</v>
      </c>
      <c r="H418" s="49">
        <f t="shared" si="4"/>
        <v>0</v>
      </c>
      <c r="I418" s="50" t="s">
        <v>371</v>
      </c>
      <c r="J418" s="42">
        <f t="shared" si="2"/>
        <v>6</v>
      </c>
      <c r="K418" s="41"/>
    </row>
    <row r="419" spans="1:11" hidden="1" x14ac:dyDescent="0.25">
      <c r="A419" s="58">
        <v>46182</v>
      </c>
      <c r="B419" s="68" t="s">
        <v>1598</v>
      </c>
      <c r="C419" s="45" t="s">
        <v>81</v>
      </c>
      <c r="D419" s="46" t="s">
        <v>82</v>
      </c>
      <c r="E419" s="47">
        <v>5</v>
      </c>
      <c r="F419" s="45"/>
      <c r="G419" s="48"/>
      <c r="H419" s="49">
        <f t="shared" si="4"/>
        <v>-5</v>
      </c>
      <c r="I419" s="51" t="s">
        <v>370</v>
      </c>
      <c r="J419" s="42">
        <f t="shared" si="2"/>
        <v>6</v>
      </c>
      <c r="K419" s="41"/>
    </row>
    <row r="420" spans="1:11" x14ac:dyDescent="0.25">
      <c r="A420" s="58">
        <v>46182</v>
      </c>
      <c r="B420" s="68" t="s">
        <v>1598</v>
      </c>
      <c r="C420" s="45" t="s">
        <v>1577</v>
      </c>
      <c r="D420" s="46" t="s">
        <v>44</v>
      </c>
      <c r="E420" s="47">
        <v>5</v>
      </c>
      <c r="F420" s="45">
        <v>1</v>
      </c>
      <c r="G420" s="48">
        <v>46213</v>
      </c>
      <c r="H420" s="49">
        <f t="shared" si="4"/>
        <v>-4</v>
      </c>
      <c r="I420" s="51" t="s">
        <v>1578</v>
      </c>
      <c r="J420" s="42">
        <f t="shared" si="2"/>
        <v>6</v>
      </c>
      <c r="K420" s="41"/>
    </row>
    <row r="421" spans="1:11" x14ac:dyDescent="0.25">
      <c r="A421" s="58">
        <v>46182</v>
      </c>
      <c r="B421" s="68" t="s">
        <v>1598</v>
      </c>
      <c r="C421" s="45"/>
      <c r="D421" s="46" t="s">
        <v>1585</v>
      </c>
      <c r="E421" s="47">
        <v>2</v>
      </c>
      <c r="F421" s="45"/>
      <c r="G421" s="48"/>
      <c r="H421" s="49">
        <f t="shared" si="4"/>
        <v>-2</v>
      </c>
      <c r="I421" s="50" t="s">
        <v>1586</v>
      </c>
      <c r="J421" s="42">
        <f t="shared" si="2"/>
        <v>6</v>
      </c>
      <c r="K421" s="41"/>
    </row>
    <row r="422" spans="1:11" hidden="1" x14ac:dyDescent="0.25">
      <c r="A422" s="58">
        <v>46182</v>
      </c>
      <c r="B422" s="68" t="s">
        <v>1598</v>
      </c>
      <c r="C422" s="45" t="s">
        <v>24</v>
      </c>
      <c r="D422" s="46" t="s">
        <v>25</v>
      </c>
      <c r="E422" s="47">
        <v>1</v>
      </c>
      <c r="F422" s="45"/>
      <c r="G422" s="48"/>
      <c r="H422" s="49">
        <f t="shared" si="4"/>
        <v>-1</v>
      </c>
      <c r="I422" s="50" t="s">
        <v>1587</v>
      </c>
      <c r="J422" s="42">
        <f t="shared" si="2"/>
        <v>6</v>
      </c>
      <c r="K422" s="41"/>
    </row>
    <row r="423" spans="1:11" hidden="1" x14ac:dyDescent="0.25">
      <c r="A423" s="58">
        <v>46182</v>
      </c>
      <c r="B423" s="68" t="s">
        <v>1598</v>
      </c>
      <c r="C423" s="45" t="s">
        <v>121</v>
      </c>
      <c r="D423" s="46" t="s">
        <v>122</v>
      </c>
      <c r="E423" s="47">
        <v>3</v>
      </c>
      <c r="F423" s="45"/>
      <c r="G423" s="48"/>
      <c r="H423" s="49">
        <f t="shared" si="4"/>
        <v>-3</v>
      </c>
      <c r="I423" s="50" t="s">
        <v>1588</v>
      </c>
      <c r="J423" s="42">
        <f t="shared" si="2"/>
        <v>6</v>
      </c>
      <c r="K423" s="41"/>
    </row>
    <row r="424" spans="1:11" hidden="1" x14ac:dyDescent="0.25">
      <c r="A424" s="58">
        <v>46182</v>
      </c>
      <c r="B424" s="68" t="s">
        <v>1598</v>
      </c>
      <c r="C424" s="45" t="s">
        <v>18</v>
      </c>
      <c r="D424" s="46" t="s">
        <v>19</v>
      </c>
      <c r="E424" s="47">
        <v>5</v>
      </c>
      <c r="F424" s="45"/>
      <c r="G424" s="48"/>
      <c r="H424" s="49">
        <f t="shared" si="4"/>
        <v>-5</v>
      </c>
      <c r="I424" s="50" t="s">
        <v>1589</v>
      </c>
      <c r="J424" s="42">
        <f t="shared" si="2"/>
        <v>6</v>
      </c>
      <c r="K424" s="41"/>
    </row>
    <row r="425" spans="1:11" hidden="1" x14ac:dyDescent="0.25">
      <c r="A425" s="58">
        <v>46182</v>
      </c>
      <c r="B425" s="68" t="s">
        <v>1598</v>
      </c>
      <c r="C425" s="45" t="s">
        <v>71</v>
      </c>
      <c r="D425" s="60" t="s">
        <v>32</v>
      </c>
      <c r="E425" s="47">
        <v>2</v>
      </c>
      <c r="F425" s="45"/>
      <c r="G425" s="48"/>
      <c r="H425" s="49">
        <f t="shared" si="4"/>
        <v>-2</v>
      </c>
      <c r="I425" s="50" t="s">
        <v>260</v>
      </c>
      <c r="J425" s="42">
        <f t="shared" si="2"/>
        <v>6</v>
      </c>
      <c r="K425" s="41"/>
    </row>
    <row r="426" spans="1:11" hidden="1" x14ac:dyDescent="0.25">
      <c r="A426" s="58">
        <v>46182</v>
      </c>
      <c r="B426" s="68" t="s">
        <v>1598</v>
      </c>
      <c r="C426" s="45"/>
      <c r="D426" s="46" t="s">
        <v>1590</v>
      </c>
      <c r="E426" s="47">
        <v>10</v>
      </c>
      <c r="F426" s="45"/>
      <c r="G426" s="48"/>
      <c r="H426" s="49">
        <f t="shared" si="4"/>
        <v>-10</v>
      </c>
      <c r="I426" s="50" t="s">
        <v>1591</v>
      </c>
      <c r="J426" s="42">
        <f t="shared" si="2"/>
        <v>6</v>
      </c>
      <c r="K426" s="41"/>
    </row>
    <row r="427" spans="1:11" x14ac:dyDescent="0.25">
      <c r="A427" s="58">
        <v>46182</v>
      </c>
      <c r="B427" s="68" t="s">
        <v>1598</v>
      </c>
      <c r="C427" s="45" t="s">
        <v>33</v>
      </c>
      <c r="D427" s="46" t="s">
        <v>154</v>
      </c>
      <c r="E427" s="47">
        <v>4</v>
      </c>
      <c r="F427" s="45"/>
      <c r="G427" s="48"/>
      <c r="H427" s="49">
        <f t="shared" si="4"/>
        <v>-4</v>
      </c>
      <c r="I427" s="50" t="s">
        <v>1592</v>
      </c>
      <c r="J427" s="42">
        <f t="shared" si="2"/>
        <v>6</v>
      </c>
      <c r="K427" s="41"/>
    </row>
    <row r="428" spans="1:11" x14ac:dyDescent="0.25">
      <c r="A428" s="58">
        <v>46182</v>
      </c>
      <c r="B428" s="68" t="s">
        <v>1598</v>
      </c>
      <c r="C428" s="45"/>
      <c r="D428" s="46" t="s">
        <v>1593</v>
      </c>
      <c r="E428" s="47">
        <v>4</v>
      </c>
      <c r="F428" s="45"/>
      <c r="G428" s="48"/>
      <c r="H428" s="49">
        <f t="shared" si="4"/>
        <v>-4</v>
      </c>
      <c r="I428" s="50" t="s">
        <v>1592</v>
      </c>
      <c r="J428" s="42">
        <f t="shared" si="2"/>
        <v>6</v>
      </c>
      <c r="K428" s="41"/>
    </row>
    <row r="429" spans="1:11" x14ac:dyDescent="0.25">
      <c r="A429" s="58">
        <v>46182</v>
      </c>
      <c r="B429" s="68" t="s">
        <v>1598</v>
      </c>
      <c r="C429" s="45"/>
      <c r="D429" s="46" t="s">
        <v>1594</v>
      </c>
      <c r="E429" s="47">
        <v>2</v>
      </c>
      <c r="F429" s="45"/>
      <c r="G429" s="48"/>
      <c r="H429" s="49">
        <f t="shared" si="4"/>
        <v>-2</v>
      </c>
      <c r="I429" s="50" t="s">
        <v>1595</v>
      </c>
      <c r="J429" s="42">
        <f t="shared" si="2"/>
        <v>6</v>
      </c>
      <c r="K429" s="41"/>
    </row>
    <row r="430" spans="1:11" hidden="1" x14ac:dyDescent="0.25">
      <c r="A430" s="58">
        <v>46182</v>
      </c>
      <c r="B430" s="50"/>
      <c r="C430" s="45" t="s">
        <v>65</v>
      </c>
      <c r="D430" s="46" t="s">
        <v>66</v>
      </c>
      <c r="E430" s="47">
        <v>2</v>
      </c>
      <c r="F430" s="45"/>
      <c r="G430" s="48"/>
      <c r="H430" s="49">
        <f t="shared" si="4"/>
        <v>-2</v>
      </c>
      <c r="I430" s="50" t="s">
        <v>45</v>
      </c>
      <c r="J430" s="42">
        <f t="shared" si="2"/>
        <v>6</v>
      </c>
      <c r="K430" s="41"/>
    </row>
    <row r="431" spans="1:11" hidden="1" x14ac:dyDescent="0.25">
      <c r="A431" s="58">
        <v>46182</v>
      </c>
      <c r="B431" s="50"/>
      <c r="C431" s="27" t="s">
        <v>1514</v>
      </c>
      <c r="D431" s="22" t="s">
        <v>312</v>
      </c>
      <c r="E431" s="47">
        <v>2</v>
      </c>
      <c r="F431" s="45"/>
      <c r="G431" s="48"/>
      <c r="H431" s="49">
        <f t="shared" si="4"/>
        <v>-2</v>
      </c>
      <c r="I431" s="50" t="s">
        <v>1599</v>
      </c>
      <c r="J431" s="42">
        <f t="shared" si="2"/>
        <v>6</v>
      </c>
      <c r="K431" s="41"/>
    </row>
    <row r="432" spans="1:11" hidden="1" x14ac:dyDescent="0.25">
      <c r="A432" s="58">
        <v>46182</v>
      </c>
      <c r="B432" s="50"/>
      <c r="C432" s="45"/>
      <c r="D432" s="22" t="s">
        <v>275</v>
      </c>
      <c r="E432" s="47">
        <v>2</v>
      </c>
      <c r="F432" s="45"/>
      <c r="G432" s="48"/>
      <c r="H432" s="49">
        <f t="shared" si="4"/>
        <v>-2</v>
      </c>
      <c r="I432" s="50" t="s">
        <v>1599</v>
      </c>
      <c r="J432" s="42">
        <f t="shared" si="2"/>
        <v>6</v>
      </c>
      <c r="K432" s="41"/>
    </row>
    <row r="433" spans="1:11" hidden="1" x14ac:dyDescent="0.25">
      <c r="A433" s="58">
        <v>46182</v>
      </c>
      <c r="B433" s="50"/>
      <c r="C433" s="45"/>
      <c r="D433" s="2" t="s">
        <v>129</v>
      </c>
      <c r="E433" s="47">
        <v>2</v>
      </c>
      <c r="F433" s="45"/>
      <c r="G433" s="48"/>
      <c r="H433" s="49">
        <f t="shared" si="4"/>
        <v>-2</v>
      </c>
      <c r="I433" s="50" t="s">
        <v>1599</v>
      </c>
      <c r="J433" s="42">
        <f t="shared" si="2"/>
        <v>6</v>
      </c>
      <c r="K433" s="41"/>
    </row>
    <row r="434" spans="1:11" hidden="1" x14ac:dyDescent="0.25">
      <c r="A434" s="58">
        <v>46182</v>
      </c>
      <c r="B434" s="50"/>
      <c r="C434" s="45" t="s">
        <v>231</v>
      </c>
      <c r="D434" s="46" t="s">
        <v>36</v>
      </c>
      <c r="E434" s="47">
        <v>10</v>
      </c>
      <c r="F434" s="45"/>
      <c r="G434" s="48"/>
      <c r="H434" s="49">
        <f t="shared" si="4"/>
        <v>-10</v>
      </c>
      <c r="I434" s="50" t="s">
        <v>1600</v>
      </c>
      <c r="J434" s="42">
        <f t="shared" si="2"/>
        <v>6</v>
      </c>
      <c r="K434" s="41"/>
    </row>
    <row r="435" spans="1:11" hidden="1" x14ac:dyDescent="0.25">
      <c r="A435" s="58">
        <v>46205</v>
      </c>
      <c r="B435" s="50" t="s">
        <v>1574</v>
      </c>
      <c r="C435" s="45"/>
      <c r="D435" s="46" t="s">
        <v>669</v>
      </c>
      <c r="E435" s="47">
        <v>1</v>
      </c>
      <c r="F435" s="45">
        <v>1</v>
      </c>
      <c r="G435" s="48">
        <v>46206</v>
      </c>
      <c r="H435" s="49">
        <f t="shared" si="4"/>
        <v>0</v>
      </c>
      <c r="I435" s="50" t="s">
        <v>1669</v>
      </c>
      <c r="J435" s="42">
        <f t="shared" si="2"/>
        <v>7</v>
      </c>
      <c r="K435" s="41"/>
    </row>
    <row r="436" spans="1:11" hidden="1" x14ac:dyDescent="0.25">
      <c r="J436" s="42">
        <f t="shared" si="2"/>
        <v>1</v>
      </c>
      <c r="K436" s="41"/>
    </row>
    <row r="437" spans="1:11" hidden="1" x14ac:dyDescent="0.25">
      <c r="J437" s="42">
        <f t="shared" si="2"/>
        <v>1</v>
      </c>
      <c r="K437" s="41"/>
    </row>
    <row r="438" spans="1:11" hidden="1" x14ac:dyDescent="0.25">
      <c r="J438" s="42">
        <f t="shared" ref="J438:J501" si="5">MONTH(A438)</f>
        <v>1</v>
      </c>
      <c r="K438" s="41"/>
    </row>
    <row r="439" spans="1:11" hidden="1" x14ac:dyDescent="0.25">
      <c r="J439" s="42">
        <f t="shared" si="5"/>
        <v>1</v>
      </c>
      <c r="K439" s="41"/>
    </row>
    <row r="440" spans="1:11" hidden="1" x14ac:dyDescent="0.25">
      <c r="J440" s="42">
        <f t="shared" si="5"/>
        <v>1</v>
      </c>
      <c r="K440" s="41"/>
    </row>
    <row r="441" spans="1:11" hidden="1" x14ac:dyDescent="0.25">
      <c r="J441" s="42">
        <f t="shared" si="5"/>
        <v>1</v>
      </c>
      <c r="K441" s="41"/>
    </row>
    <row r="442" spans="1:11" hidden="1" x14ac:dyDescent="0.25">
      <c r="J442" s="42">
        <f t="shared" si="5"/>
        <v>1</v>
      </c>
      <c r="K442" s="41"/>
    </row>
    <row r="443" spans="1:11" hidden="1" x14ac:dyDescent="0.25">
      <c r="J443" s="42">
        <f t="shared" si="5"/>
        <v>1</v>
      </c>
      <c r="K443" s="41"/>
    </row>
    <row r="444" spans="1:11" hidden="1" x14ac:dyDescent="0.25">
      <c r="J444" s="42">
        <f t="shared" si="5"/>
        <v>1</v>
      </c>
      <c r="K444" s="41"/>
    </row>
    <row r="445" spans="1:11" hidden="1" x14ac:dyDescent="0.25">
      <c r="J445" s="42">
        <f t="shared" si="5"/>
        <v>1</v>
      </c>
      <c r="K445" s="41"/>
    </row>
    <row r="446" spans="1:11" hidden="1" x14ac:dyDescent="0.25">
      <c r="J446" s="42">
        <f t="shared" si="5"/>
        <v>1</v>
      </c>
      <c r="K446" s="41"/>
    </row>
    <row r="447" spans="1:11" hidden="1" x14ac:dyDescent="0.25">
      <c r="J447" s="42">
        <f t="shared" si="5"/>
        <v>1</v>
      </c>
      <c r="K447" s="41"/>
    </row>
    <row r="448" spans="1:11" hidden="1" x14ac:dyDescent="0.25">
      <c r="J448" s="42">
        <f t="shared" si="5"/>
        <v>1</v>
      </c>
      <c r="K448" s="41"/>
    </row>
    <row r="449" spans="10:11" hidden="1" x14ac:dyDescent="0.25">
      <c r="J449" s="42">
        <f t="shared" si="5"/>
        <v>1</v>
      </c>
      <c r="K449" s="41"/>
    </row>
    <row r="450" spans="10:11" hidden="1" x14ac:dyDescent="0.25">
      <c r="J450" s="42">
        <f t="shared" si="5"/>
        <v>1</v>
      </c>
      <c r="K450" s="41"/>
    </row>
    <row r="451" spans="10:11" hidden="1" x14ac:dyDescent="0.25">
      <c r="J451" s="42">
        <f t="shared" si="5"/>
        <v>1</v>
      </c>
      <c r="K451" s="41"/>
    </row>
    <row r="452" spans="10:11" hidden="1" x14ac:dyDescent="0.25">
      <c r="J452" s="42">
        <f t="shared" si="5"/>
        <v>1</v>
      </c>
      <c r="K452" s="41"/>
    </row>
    <row r="453" spans="10:11" hidden="1" x14ac:dyDescent="0.25">
      <c r="J453" s="42">
        <f t="shared" si="5"/>
        <v>1</v>
      </c>
      <c r="K453" s="41"/>
    </row>
    <row r="454" spans="10:11" hidden="1" x14ac:dyDescent="0.25">
      <c r="J454" s="42">
        <f t="shared" si="5"/>
        <v>1</v>
      </c>
      <c r="K454" s="41"/>
    </row>
    <row r="455" spans="10:11" hidden="1" x14ac:dyDescent="0.25">
      <c r="J455" s="42">
        <f t="shared" si="5"/>
        <v>1</v>
      </c>
      <c r="K455" s="41"/>
    </row>
    <row r="456" spans="10:11" hidden="1" x14ac:dyDescent="0.25">
      <c r="J456" s="42">
        <f t="shared" si="5"/>
        <v>1</v>
      </c>
      <c r="K456" s="41"/>
    </row>
    <row r="457" spans="10:11" hidden="1" x14ac:dyDescent="0.25">
      <c r="J457" s="42">
        <f t="shared" si="5"/>
        <v>1</v>
      </c>
      <c r="K457" s="41"/>
    </row>
    <row r="458" spans="10:11" hidden="1" x14ac:dyDescent="0.25">
      <c r="J458" s="42">
        <f t="shared" si="5"/>
        <v>1</v>
      </c>
      <c r="K458" s="41"/>
    </row>
    <row r="459" spans="10:11" hidden="1" x14ac:dyDescent="0.25">
      <c r="J459" s="42">
        <f t="shared" si="5"/>
        <v>1</v>
      </c>
      <c r="K459" s="41"/>
    </row>
    <row r="460" spans="10:11" hidden="1" x14ac:dyDescent="0.25">
      <c r="J460" s="42">
        <f t="shared" si="5"/>
        <v>1</v>
      </c>
      <c r="K460" s="41"/>
    </row>
    <row r="461" spans="10:11" hidden="1" x14ac:dyDescent="0.25">
      <c r="J461" s="42">
        <f t="shared" si="5"/>
        <v>1</v>
      </c>
      <c r="K461" s="41"/>
    </row>
    <row r="462" spans="10:11" hidden="1" x14ac:dyDescent="0.25">
      <c r="J462" s="42">
        <f t="shared" si="5"/>
        <v>1</v>
      </c>
      <c r="K462" s="41"/>
    </row>
    <row r="463" spans="10:11" hidden="1" x14ac:dyDescent="0.25">
      <c r="J463" s="42">
        <f t="shared" si="5"/>
        <v>1</v>
      </c>
      <c r="K463" s="41"/>
    </row>
    <row r="464" spans="10:11" hidden="1" x14ac:dyDescent="0.25">
      <c r="J464" s="42">
        <f t="shared" si="5"/>
        <v>1</v>
      </c>
      <c r="K464" s="41"/>
    </row>
    <row r="465" spans="10:11" hidden="1" x14ac:dyDescent="0.25">
      <c r="J465" s="42">
        <f t="shared" si="5"/>
        <v>1</v>
      </c>
      <c r="K465" s="41"/>
    </row>
    <row r="466" spans="10:11" hidden="1" x14ac:dyDescent="0.25">
      <c r="J466" s="42">
        <f t="shared" si="5"/>
        <v>1</v>
      </c>
      <c r="K466" s="41"/>
    </row>
    <row r="467" spans="10:11" hidden="1" x14ac:dyDescent="0.25">
      <c r="J467" s="42">
        <f t="shared" si="5"/>
        <v>1</v>
      </c>
      <c r="K467" s="41"/>
    </row>
    <row r="468" spans="10:11" hidden="1" x14ac:dyDescent="0.25">
      <c r="J468" s="42">
        <f t="shared" si="5"/>
        <v>1</v>
      </c>
      <c r="K468" s="41"/>
    </row>
    <row r="469" spans="10:11" hidden="1" x14ac:dyDescent="0.25">
      <c r="J469" s="42">
        <f t="shared" si="5"/>
        <v>1</v>
      </c>
      <c r="K469" s="41"/>
    </row>
    <row r="470" spans="10:11" hidden="1" x14ac:dyDescent="0.25">
      <c r="J470" s="42">
        <f t="shared" si="5"/>
        <v>1</v>
      </c>
      <c r="K470" s="41"/>
    </row>
    <row r="471" spans="10:11" hidden="1" x14ac:dyDescent="0.25">
      <c r="J471" s="42">
        <f t="shared" si="5"/>
        <v>1</v>
      </c>
      <c r="K471" s="41"/>
    </row>
    <row r="472" spans="10:11" hidden="1" x14ac:dyDescent="0.25">
      <c r="J472" s="42">
        <f t="shared" si="5"/>
        <v>1</v>
      </c>
      <c r="K472" s="41"/>
    </row>
    <row r="473" spans="10:11" hidden="1" x14ac:dyDescent="0.25">
      <c r="J473" s="42">
        <f t="shared" si="5"/>
        <v>1</v>
      </c>
      <c r="K473" s="41"/>
    </row>
    <row r="474" spans="10:11" hidden="1" x14ac:dyDescent="0.25">
      <c r="J474" s="42">
        <f t="shared" si="5"/>
        <v>1</v>
      </c>
      <c r="K474" s="41"/>
    </row>
    <row r="475" spans="10:11" hidden="1" x14ac:dyDescent="0.25">
      <c r="J475" s="42">
        <f t="shared" si="5"/>
        <v>1</v>
      </c>
      <c r="K475" s="41"/>
    </row>
    <row r="476" spans="10:11" hidden="1" x14ac:dyDescent="0.25">
      <c r="J476" s="42">
        <f t="shared" si="5"/>
        <v>1</v>
      </c>
      <c r="K476" s="41"/>
    </row>
    <row r="477" spans="10:11" hidden="1" x14ac:dyDescent="0.25">
      <c r="J477" s="42">
        <f t="shared" si="5"/>
        <v>1</v>
      </c>
      <c r="K477" s="41"/>
    </row>
    <row r="478" spans="10:11" hidden="1" x14ac:dyDescent="0.25">
      <c r="J478" s="42">
        <f t="shared" si="5"/>
        <v>1</v>
      </c>
      <c r="K478" s="41"/>
    </row>
    <row r="479" spans="10:11" hidden="1" x14ac:dyDescent="0.25">
      <c r="J479" s="42">
        <f t="shared" si="5"/>
        <v>1</v>
      </c>
      <c r="K479" s="41"/>
    </row>
    <row r="480" spans="10:11" hidden="1" x14ac:dyDescent="0.25">
      <c r="J480" s="42">
        <f t="shared" si="5"/>
        <v>1</v>
      </c>
      <c r="K480" s="41"/>
    </row>
    <row r="481" spans="10:11" hidden="1" x14ac:dyDescent="0.25">
      <c r="J481" s="42">
        <f t="shared" si="5"/>
        <v>1</v>
      </c>
      <c r="K481" s="41"/>
    </row>
    <row r="482" spans="10:11" hidden="1" x14ac:dyDescent="0.25">
      <c r="J482" s="42">
        <f t="shared" si="5"/>
        <v>1</v>
      </c>
      <c r="K482" s="41"/>
    </row>
    <row r="483" spans="10:11" hidden="1" x14ac:dyDescent="0.25">
      <c r="J483" s="42">
        <f t="shared" si="5"/>
        <v>1</v>
      </c>
      <c r="K483" s="41"/>
    </row>
    <row r="484" spans="10:11" hidden="1" x14ac:dyDescent="0.25">
      <c r="J484" s="42">
        <f t="shared" si="5"/>
        <v>1</v>
      </c>
      <c r="K484" s="41"/>
    </row>
    <row r="485" spans="10:11" hidden="1" x14ac:dyDescent="0.25">
      <c r="J485" s="42">
        <f t="shared" si="5"/>
        <v>1</v>
      </c>
      <c r="K485" s="41"/>
    </row>
    <row r="486" spans="10:11" hidden="1" x14ac:dyDescent="0.25">
      <c r="J486" s="42">
        <f t="shared" si="5"/>
        <v>1</v>
      </c>
      <c r="K486" s="41"/>
    </row>
    <row r="487" spans="10:11" hidden="1" x14ac:dyDescent="0.25">
      <c r="J487" s="42">
        <f t="shared" si="5"/>
        <v>1</v>
      </c>
      <c r="K487" s="41"/>
    </row>
    <row r="488" spans="10:11" hidden="1" x14ac:dyDescent="0.25">
      <c r="J488" s="42">
        <f t="shared" si="5"/>
        <v>1</v>
      </c>
      <c r="K488" s="41"/>
    </row>
    <row r="489" spans="10:11" hidden="1" x14ac:dyDescent="0.25">
      <c r="J489" s="42">
        <f t="shared" si="5"/>
        <v>1</v>
      </c>
      <c r="K489" s="41"/>
    </row>
    <row r="490" spans="10:11" hidden="1" x14ac:dyDescent="0.25">
      <c r="J490" s="42">
        <f t="shared" si="5"/>
        <v>1</v>
      </c>
      <c r="K490" s="41"/>
    </row>
    <row r="491" spans="10:11" hidden="1" x14ac:dyDescent="0.25">
      <c r="J491" s="42">
        <f t="shared" si="5"/>
        <v>1</v>
      </c>
      <c r="K491" s="41"/>
    </row>
    <row r="492" spans="10:11" hidden="1" x14ac:dyDescent="0.25">
      <c r="J492" s="42">
        <f t="shared" si="5"/>
        <v>1</v>
      </c>
      <c r="K492" s="41"/>
    </row>
    <row r="493" spans="10:11" hidden="1" x14ac:dyDescent="0.25">
      <c r="J493" s="42">
        <f t="shared" si="5"/>
        <v>1</v>
      </c>
      <c r="K493" s="41"/>
    </row>
    <row r="494" spans="10:11" hidden="1" x14ac:dyDescent="0.25">
      <c r="J494" s="42">
        <f t="shared" si="5"/>
        <v>1</v>
      </c>
      <c r="K494" s="41"/>
    </row>
    <row r="495" spans="10:11" hidden="1" x14ac:dyDescent="0.25">
      <c r="J495" s="42">
        <f t="shared" si="5"/>
        <v>1</v>
      </c>
      <c r="K495" s="41"/>
    </row>
    <row r="496" spans="10:11" hidden="1" x14ac:dyDescent="0.25">
      <c r="J496" s="42">
        <f t="shared" si="5"/>
        <v>1</v>
      </c>
      <c r="K496" s="41"/>
    </row>
    <row r="497" spans="10:11" hidden="1" x14ac:dyDescent="0.25">
      <c r="J497" s="42">
        <f t="shared" si="5"/>
        <v>1</v>
      </c>
      <c r="K497" s="41"/>
    </row>
    <row r="498" spans="10:11" hidden="1" x14ac:dyDescent="0.25">
      <c r="J498" s="42">
        <f t="shared" si="5"/>
        <v>1</v>
      </c>
      <c r="K498" s="41"/>
    </row>
    <row r="499" spans="10:11" hidden="1" x14ac:dyDescent="0.25">
      <c r="J499" s="42">
        <f t="shared" si="5"/>
        <v>1</v>
      </c>
      <c r="K499" s="41"/>
    </row>
    <row r="500" spans="10:11" hidden="1" x14ac:dyDescent="0.25">
      <c r="J500" s="42">
        <f t="shared" si="5"/>
        <v>1</v>
      </c>
      <c r="K500" s="41"/>
    </row>
    <row r="501" spans="10:11" hidden="1" x14ac:dyDescent="0.25">
      <c r="J501" s="42">
        <f t="shared" si="5"/>
        <v>1</v>
      </c>
      <c r="K501" s="41"/>
    </row>
    <row r="502" spans="10:11" hidden="1" x14ac:dyDescent="0.25">
      <c r="J502" s="42">
        <f t="shared" ref="J502:J565" si="6">MONTH(A502)</f>
        <v>1</v>
      </c>
      <c r="K502" s="41"/>
    </row>
    <row r="503" spans="10:11" hidden="1" x14ac:dyDescent="0.25">
      <c r="J503" s="42">
        <f t="shared" si="6"/>
        <v>1</v>
      </c>
      <c r="K503" s="41"/>
    </row>
    <row r="504" spans="10:11" hidden="1" x14ac:dyDescent="0.25">
      <c r="J504" s="42">
        <f t="shared" si="6"/>
        <v>1</v>
      </c>
      <c r="K504" s="41"/>
    </row>
    <row r="505" spans="10:11" hidden="1" x14ac:dyDescent="0.25">
      <c r="J505" s="42">
        <f t="shared" si="6"/>
        <v>1</v>
      </c>
      <c r="K505" s="41"/>
    </row>
    <row r="506" spans="10:11" hidden="1" x14ac:dyDescent="0.25">
      <c r="J506" s="42">
        <f t="shared" si="6"/>
        <v>1</v>
      </c>
      <c r="K506" s="41"/>
    </row>
    <row r="507" spans="10:11" hidden="1" x14ac:dyDescent="0.25">
      <c r="J507" s="42">
        <f t="shared" si="6"/>
        <v>1</v>
      </c>
      <c r="K507" s="41"/>
    </row>
    <row r="508" spans="10:11" hidden="1" x14ac:dyDescent="0.25">
      <c r="J508" s="42">
        <f t="shared" si="6"/>
        <v>1</v>
      </c>
      <c r="K508" s="41"/>
    </row>
    <row r="509" spans="10:11" hidden="1" x14ac:dyDescent="0.25">
      <c r="J509" s="42">
        <f t="shared" si="6"/>
        <v>1</v>
      </c>
      <c r="K509" s="41"/>
    </row>
    <row r="510" spans="10:11" hidden="1" x14ac:dyDescent="0.25">
      <c r="J510" s="42">
        <f t="shared" si="6"/>
        <v>1</v>
      </c>
      <c r="K510" s="41"/>
    </row>
    <row r="511" spans="10:11" hidden="1" x14ac:dyDescent="0.25">
      <c r="J511" s="42">
        <f t="shared" si="6"/>
        <v>1</v>
      </c>
      <c r="K511" s="41"/>
    </row>
    <row r="512" spans="10:11" hidden="1" x14ac:dyDescent="0.25">
      <c r="J512" s="42">
        <f t="shared" si="6"/>
        <v>1</v>
      </c>
      <c r="K512" s="41"/>
    </row>
    <row r="513" spans="10:11" hidden="1" x14ac:dyDescent="0.25">
      <c r="J513" s="42">
        <f t="shared" si="6"/>
        <v>1</v>
      </c>
      <c r="K513" s="41"/>
    </row>
    <row r="514" spans="10:11" hidden="1" x14ac:dyDescent="0.25">
      <c r="J514" s="42">
        <f t="shared" si="6"/>
        <v>1</v>
      </c>
      <c r="K514" s="41"/>
    </row>
    <row r="515" spans="10:11" hidden="1" x14ac:dyDescent="0.25">
      <c r="J515" s="42">
        <f t="shared" si="6"/>
        <v>1</v>
      </c>
      <c r="K515" s="41"/>
    </row>
    <row r="516" spans="10:11" hidden="1" x14ac:dyDescent="0.25">
      <c r="J516" s="42">
        <f t="shared" si="6"/>
        <v>1</v>
      </c>
      <c r="K516" s="41"/>
    </row>
    <row r="517" spans="10:11" hidden="1" x14ac:dyDescent="0.25">
      <c r="J517" s="42">
        <f t="shared" si="6"/>
        <v>1</v>
      </c>
      <c r="K517" s="41"/>
    </row>
    <row r="518" spans="10:11" hidden="1" x14ac:dyDescent="0.25">
      <c r="J518" s="42">
        <f t="shared" si="6"/>
        <v>1</v>
      </c>
      <c r="K518" s="41"/>
    </row>
    <row r="519" spans="10:11" hidden="1" x14ac:dyDescent="0.25">
      <c r="J519" s="42">
        <f t="shared" si="6"/>
        <v>1</v>
      </c>
      <c r="K519" s="41"/>
    </row>
    <row r="520" spans="10:11" hidden="1" x14ac:dyDescent="0.25">
      <c r="J520" s="42">
        <f t="shared" si="6"/>
        <v>1</v>
      </c>
      <c r="K520" s="41"/>
    </row>
    <row r="521" spans="10:11" hidden="1" x14ac:dyDescent="0.25">
      <c r="J521" s="42">
        <f t="shared" si="6"/>
        <v>1</v>
      </c>
      <c r="K521" s="41"/>
    </row>
    <row r="522" spans="10:11" hidden="1" x14ac:dyDescent="0.25">
      <c r="J522" s="42">
        <f t="shared" si="6"/>
        <v>1</v>
      </c>
      <c r="K522" s="41"/>
    </row>
    <row r="523" spans="10:11" hidden="1" x14ac:dyDescent="0.25">
      <c r="J523" s="42">
        <f t="shared" si="6"/>
        <v>1</v>
      </c>
      <c r="K523" s="41"/>
    </row>
    <row r="524" spans="10:11" hidden="1" x14ac:dyDescent="0.25">
      <c r="J524" s="42">
        <f t="shared" si="6"/>
        <v>1</v>
      </c>
      <c r="K524" s="41"/>
    </row>
    <row r="525" spans="10:11" hidden="1" x14ac:dyDescent="0.25">
      <c r="J525" s="42">
        <f t="shared" si="6"/>
        <v>1</v>
      </c>
      <c r="K525" s="41"/>
    </row>
    <row r="526" spans="10:11" hidden="1" x14ac:dyDescent="0.25">
      <c r="J526" s="42">
        <f t="shared" si="6"/>
        <v>1</v>
      </c>
      <c r="K526" s="41"/>
    </row>
    <row r="527" spans="10:11" hidden="1" x14ac:dyDescent="0.25">
      <c r="J527" s="42">
        <f t="shared" si="6"/>
        <v>1</v>
      </c>
      <c r="K527" s="41"/>
    </row>
    <row r="528" spans="10:11" hidden="1" x14ac:dyDescent="0.25">
      <c r="J528" s="42">
        <f t="shared" si="6"/>
        <v>1</v>
      </c>
      <c r="K528" s="41"/>
    </row>
    <row r="529" spans="10:11" hidden="1" x14ac:dyDescent="0.25">
      <c r="J529" s="42">
        <f t="shared" si="6"/>
        <v>1</v>
      </c>
      <c r="K529" s="41"/>
    </row>
    <row r="530" spans="10:11" hidden="1" x14ac:dyDescent="0.25">
      <c r="J530" s="42">
        <f t="shared" si="6"/>
        <v>1</v>
      </c>
      <c r="K530" s="41"/>
    </row>
    <row r="531" spans="10:11" hidden="1" x14ac:dyDescent="0.25">
      <c r="J531" s="42">
        <f t="shared" si="6"/>
        <v>1</v>
      </c>
      <c r="K531" s="41"/>
    </row>
    <row r="532" spans="10:11" hidden="1" x14ac:dyDescent="0.25">
      <c r="J532" s="42">
        <f t="shared" si="6"/>
        <v>1</v>
      </c>
      <c r="K532" s="41"/>
    </row>
    <row r="533" spans="10:11" hidden="1" x14ac:dyDescent="0.25">
      <c r="J533" s="42">
        <f t="shared" si="6"/>
        <v>1</v>
      </c>
      <c r="K533" s="41"/>
    </row>
    <row r="534" spans="10:11" hidden="1" x14ac:dyDescent="0.25">
      <c r="J534" s="42">
        <f t="shared" si="6"/>
        <v>1</v>
      </c>
      <c r="K534" s="41"/>
    </row>
    <row r="535" spans="10:11" hidden="1" x14ac:dyDescent="0.25">
      <c r="J535" s="42">
        <f t="shared" si="6"/>
        <v>1</v>
      </c>
      <c r="K535" s="41"/>
    </row>
    <row r="536" spans="10:11" hidden="1" x14ac:dyDescent="0.25">
      <c r="J536" s="42">
        <f t="shared" si="6"/>
        <v>1</v>
      </c>
      <c r="K536" s="41"/>
    </row>
    <row r="537" spans="10:11" hidden="1" x14ac:dyDescent="0.25">
      <c r="J537" s="42">
        <f t="shared" si="6"/>
        <v>1</v>
      </c>
      <c r="K537" s="41"/>
    </row>
    <row r="538" spans="10:11" hidden="1" x14ac:dyDescent="0.25">
      <c r="J538" s="42">
        <f t="shared" si="6"/>
        <v>1</v>
      </c>
      <c r="K538" s="41"/>
    </row>
    <row r="539" spans="10:11" hidden="1" x14ac:dyDescent="0.25">
      <c r="J539" s="42">
        <f t="shared" si="6"/>
        <v>1</v>
      </c>
      <c r="K539" s="41"/>
    </row>
    <row r="540" spans="10:11" hidden="1" x14ac:dyDescent="0.25">
      <c r="J540" s="42">
        <f t="shared" si="6"/>
        <v>1</v>
      </c>
      <c r="K540" s="41"/>
    </row>
    <row r="541" spans="10:11" hidden="1" x14ac:dyDescent="0.25">
      <c r="J541" s="42">
        <f t="shared" si="6"/>
        <v>1</v>
      </c>
      <c r="K541" s="41"/>
    </row>
    <row r="542" spans="10:11" hidden="1" x14ac:dyDescent="0.25">
      <c r="J542" s="42">
        <f t="shared" si="6"/>
        <v>1</v>
      </c>
      <c r="K542" s="41"/>
    </row>
    <row r="543" spans="10:11" hidden="1" x14ac:dyDescent="0.25">
      <c r="J543" s="42">
        <f t="shared" si="6"/>
        <v>1</v>
      </c>
      <c r="K543" s="41"/>
    </row>
    <row r="544" spans="10:11" hidden="1" x14ac:dyDescent="0.25">
      <c r="J544" s="42">
        <f t="shared" si="6"/>
        <v>1</v>
      </c>
      <c r="K544" s="41"/>
    </row>
    <row r="545" spans="10:11" hidden="1" x14ac:dyDescent="0.25">
      <c r="J545" s="42">
        <f t="shared" si="6"/>
        <v>1</v>
      </c>
      <c r="K545" s="41"/>
    </row>
    <row r="546" spans="10:11" hidden="1" x14ac:dyDescent="0.25">
      <c r="J546" s="42">
        <f t="shared" si="6"/>
        <v>1</v>
      </c>
      <c r="K546" s="41"/>
    </row>
    <row r="547" spans="10:11" hidden="1" x14ac:dyDescent="0.25">
      <c r="J547" s="42">
        <f t="shared" si="6"/>
        <v>1</v>
      </c>
      <c r="K547" s="41"/>
    </row>
    <row r="548" spans="10:11" hidden="1" x14ac:dyDescent="0.25">
      <c r="J548" s="42">
        <f t="shared" si="6"/>
        <v>1</v>
      </c>
      <c r="K548" s="41"/>
    </row>
    <row r="549" spans="10:11" hidden="1" x14ac:dyDescent="0.25">
      <c r="J549" s="42">
        <f t="shared" si="6"/>
        <v>1</v>
      </c>
      <c r="K549" s="41"/>
    </row>
    <row r="550" spans="10:11" hidden="1" x14ac:dyDescent="0.25">
      <c r="J550" s="42">
        <f t="shared" si="6"/>
        <v>1</v>
      </c>
      <c r="K550" s="41"/>
    </row>
    <row r="551" spans="10:11" hidden="1" x14ac:dyDescent="0.25">
      <c r="J551" s="42">
        <f t="shared" si="6"/>
        <v>1</v>
      </c>
      <c r="K551" s="41"/>
    </row>
    <row r="552" spans="10:11" hidden="1" x14ac:dyDescent="0.25">
      <c r="J552" s="42">
        <f t="shared" si="6"/>
        <v>1</v>
      </c>
      <c r="K552" s="41"/>
    </row>
    <row r="553" spans="10:11" hidden="1" x14ac:dyDescent="0.25">
      <c r="J553" s="42">
        <f t="shared" si="6"/>
        <v>1</v>
      </c>
      <c r="K553" s="41"/>
    </row>
    <row r="554" spans="10:11" hidden="1" x14ac:dyDescent="0.25">
      <c r="J554" s="42">
        <f t="shared" si="6"/>
        <v>1</v>
      </c>
      <c r="K554" s="41"/>
    </row>
    <row r="555" spans="10:11" hidden="1" x14ac:dyDescent="0.25">
      <c r="J555" s="42">
        <f t="shared" si="6"/>
        <v>1</v>
      </c>
      <c r="K555" s="41"/>
    </row>
    <row r="556" spans="10:11" hidden="1" x14ac:dyDescent="0.25">
      <c r="J556" s="42">
        <f t="shared" si="6"/>
        <v>1</v>
      </c>
      <c r="K556" s="41"/>
    </row>
    <row r="557" spans="10:11" hidden="1" x14ac:dyDescent="0.25">
      <c r="J557" s="42">
        <f t="shared" si="6"/>
        <v>1</v>
      </c>
      <c r="K557" s="41"/>
    </row>
    <row r="558" spans="10:11" hidden="1" x14ac:dyDescent="0.25">
      <c r="J558" s="42">
        <f t="shared" si="6"/>
        <v>1</v>
      </c>
      <c r="K558" s="41"/>
    </row>
    <row r="559" spans="10:11" hidden="1" x14ac:dyDescent="0.25">
      <c r="J559" s="42">
        <f t="shared" si="6"/>
        <v>1</v>
      </c>
      <c r="K559" s="41"/>
    </row>
    <row r="560" spans="10:11" hidden="1" x14ac:dyDescent="0.25">
      <c r="J560" s="42">
        <f t="shared" si="6"/>
        <v>1</v>
      </c>
      <c r="K560" s="41"/>
    </row>
    <row r="561" spans="10:11" hidden="1" x14ac:dyDescent="0.25">
      <c r="J561" s="42">
        <f t="shared" si="6"/>
        <v>1</v>
      </c>
      <c r="K561" s="41"/>
    </row>
    <row r="562" spans="10:11" hidden="1" x14ac:dyDescent="0.25">
      <c r="J562" s="42">
        <f t="shared" si="6"/>
        <v>1</v>
      </c>
      <c r="K562" s="41"/>
    </row>
    <row r="563" spans="10:11" hidden="1" x14ac:dyDescent="0.25">
      <c r="J563" s="42">
        <f t="shared" si="6"/>
        <v>1</v>
      </c>
      <c r="K563" s="41"/>
    </row>
    <row r="564" spans="10:11" hidden="1" x14ac:dyDescent="0.25">
      <c r="J564" s="42">
        <f t="shared" si="6"/>
        <v>1</v>
      </c>
      <c r="K564" s="41"/>
    </row>
    <row r="565" spans="10:11" hidden="1" x14ac:dyDescent="0.25">
      <c r="J565" s="42">
        <f t="shared" si="6"/>
        <v>1</v>
      </c>
      <c r="K565" s="41"/>
    </row>
    <row r="566" spans="10:11" hidden="1" x14ac:dyDescent="0.25">
      <c r="J566" s="42">
        <f t="shared" ref="J566:J629" si="7">MONTH(A566)</f>
        <v>1</v>
      </c>
      <c r="K566" s="41"/>
    </row>
    <row r="567" spans="10:11" hidden="1" x14ac:dyDescent="0.25">
      <c r="J567" s="42">
        <f t="shared" si="7"/>
        <v>1</v>
      </c>
      <c r="K567" s="41"/>
    </row>
    <row r="568" spans="10:11" hidden="1" x14ac:dyDescent="0.25">
      <c r="J568" s="42">
        <f t="shared" si="7"/>
        <v>1</v>
      </c>
      <c r="K568" s="41"/>
    </row>
    <row r="569" spans="10:11" hidden="1" x14ac:dyDescent="0.25">
      <c r="J569" s="42">
        <f t="shared" si="7"/>
        <v>1</v>
      </c>
      <c r="K569" s="41"/>
    </row>
    <row r="570" spans="10:11" hidden="1" x14ac:dyDescent="0.25">
      <c r="J570" s="42">
        <f t="shared" si="7"/>
        <v>1</v>
      </c>
      <c r="K570" s="41"/>
    </row>
    <row r="571" spans="10:11" hidden="1" x14ac:dyDescent="0.25">
      <c r="J571" s="42">
        <f t="shared" si="7"/>
        <v>1</v>
      </c>
      <c r="K571" s="41"/>
    </row>
    <row r="572" spans="10:11" hidden="1" x14ac:dyDescent="0.25">
      <c r="J572" s="42">
        <f t="shared" si="7"/>
        <v>1</v>
      </c>
      <c r="K572" s="41"/>
    </row>
    <row r="573" spans="10:11" hidden="1" x14ac:dyDescent="0.25">
      <c r="J573" s="42">
        <f t="shared" si="7"/>
        <v>1</v>
      </c>
      <c r="K573" s="41"/>
    </row>
    <row r="574" spans="10:11" hidden="1" x14ac:dyDescent="0.25">
      <c r="J574" s="42">
        <f t="shared" si="7"/>
        <v>1</v>
      </c>
      <c r="K574" s="41"/>
    </row>
    <row r="575" spans="10:11" hidden="1" x14ac:dyDescent="0.25">
      <c r="J575" s="42">
        <f t="shared" si="7"/>
        <v>1</v>
      </c>
      <c r="K575" s="41"/>
    </row>
    <row r="576" spans="10:11" hidden="1" x14ac:dyDescent="0.25">
      <c r="J576" s="42">
        <f t="shared" si="7"/>
        <v>1</v>
      </c>
      <c r="K576" s="41"/>
    </row>
    <row r="577" spans="10:11" hidden="1" x14ac:dyDescent="0.25">
      <c r="J577" s="42">
        <f t="shared" si="7"/>
        <v>1</v>
      </c>
      <c r="K577" s="41"/>
    </row>
    <row r="578" spans="10:11" hidden="1" x14ac:dyDescent="0.25">
      <c r="J578" s="42">
        <f t="shared" si="7"/>
        <v>1</v>
      </c>
      <c r="K578" s="41"/>
    </row>
    <row r="579" spans="10:11" hidden="1" x14ac:dyDescent="0.25">
      <c r="J579" s="42">
        <f t="shared" si="7"/>
        <v>1</v>
      </c>
      <c r="K579" s="41"/>
    </row>
    <row r="580" spans="10:11" hidden="1" x14ac:dyDescent="0.25">
      <c r="J580" s="42">
        <f t="shared" si="7"/>
        <v>1</v>
      </c>
      <c r="K580" s="41"/>
    </row>
    <row r="581" spans="10:11" hidden="1" x14ac:dyDescent="0.25">
      <c r="J581" s="42">
        <f t="shared" si="7"/>
        <v>1</v>
      </c>
      <c r="K581" s="41"/>
    </row>
    <row r="582" spans="10:11" hidden="1" x14ac:dyDescent="0.25">
      <c r="J582" s="42">
        <f t="shared" si="7"/>
        <v>1</v>
      </c>
      <c r="K582" s="41"/>
    </row>
    <row r="583" spans="10:11" hidden="1" x14ac:dyDescent="0.25">
      <c r="J583" s="42">
        <f t="shared" si="7"/>
        <v>1</v>
      </c>
      <c r="K583" s="41"/>
    </row>
    <row r="584" spans="10:11" hidden="1" x14ac:dyDescent="0.25">
      <c r="J584" s="42">
        <f t="shared" si="7"/>
        <v>1</v>
      </c>
      <c r="K584" s="41"/>
    </row>
    <row r="585" spans="10:11" hidden="1" x14ac:dyDescent="0.25">
      <c r="J585" s="42">
        <f t="shared" si="7"/>
        <v>1</v>
      </c>
      <c r="K585" s="41"/>
    </row>
    <row r="586" spans="10:11" hidden="1" x14ac:dyDescent="0.25">
      <c r="J586" s="42">
        <f t="shared" si="7"/>
        <v>1</v>
      </c>
      <c r="K586" s="41"/>
    </row>
    <row r="587" spans="10:11" hidden="1" x14ac:dyDescent="0.25">
      <c r="J587" s="42">
        <f t="shared" si="7"/>
        <v>1</v>
      </c>
      <c r="K587" s="41"/>
    </row>
    <row r="588" spans="10:11" hidden="1" x14ac:dyDescent="0.25">
      <c r="J588" s="42">
        <f t="shared" si="7"/>
        <v>1</v>
      </c>
      <c r="K588" s="41"/>
    </row>
    <row r="589" spans="10:11" hidden="1" x14ac:dyDescent="0.25">
      <c r="J589" s="42">
        <f t="shared" si="7"/>
        <v>1</v>
      </c>
      <c r="K589" s="41"/>
    </row>
    <row r="590" spans="10:11" hidden="1" x14ac:dyDescent="0.25">
      <c r="J590" s="42">
        <f t="shared" si="7"/>
        <v>1</v>
      </c>
      <c r="K590" s="41"/>
    </row>
    <row r="591" spans="10:11" hidden="1" x14ac:dyDescent="0.25">
      <c r="J591" s="42">
        <f t="shared" si="7"/>
        <v>1</v>
      </c>
      <c r="K591" s="41"/>
    </row>
    <row r="592" spans="10:11" hidden="1" x14ac:dyDescent="0.25">
      <c r="J592" s="42">
        <f t="shared" si="7"/>
        <v>1</v>
      </c>
      <c r="K592" s="41"/>
    </row>
    <row r="593" spans="10:11" hidden="1" x14ac:dyDescent="0.25">
      <c r="J593" s="42">
        <f t="shared" si="7"/>
        <v>1</v>
      </c>
      <c r="K593" s="41"/>
    </row>
    <row r="594" spans="10:11" hidden="1" x14ac:dyDescent="0.25">
      <c r="J594" s="42">
        <f t="shared" si="7"/>
        <v>1</v>
      </c>
      <c r="K594" s="41"/>
    </row>
    <row r="595" spans="10:11" hidden="1" x14ac:dyDescent="0.25">
      <c r="J595" s="42">
        <f t="shared" si="7"/>
        <v>1</v>
      </c>
      <c r="K595" s="41"/>
    </row>
    <row r="596" spans="10:11" hidden="1" x14ac:dyDescent="0.25">
      <c r="J596" s="42">
        <f t="shared" si="7"/>
        <v>1</v>
      </c>
      <c r="K596" s="41"/>
    </row>
    <row r="597" spans="10:11" hidden="1" x14ac:dyDescent="0.25">
      <c r="J597" s="42">
        <f t="shared" si="7"/>
        <v>1</v>
      </c>
      <c r="K597" s="41"/>
    </row>
    <row r="598" spans="10:11" hidden="1" x14ac:dyDescent="0.25">
      <c r="J598" s="42">
        <f t="shared" si="7"/>
        <v>1</v>
      </c>
      <c r="K598" s="41"/>
    </row>
    <row r="599" spans="10:11" hidden="1" x14ac:dyDescent="0.25">
      <c r="J599" s="42">
        <f t="shared" si="7"/>
        <v>1</v>
      </c>
      <c r="K599" s="41"/>
    </row>
    <row r="600" spans="10:11" hidden="1" x14ac:dyDescent="0.25">
      <c r="J600" s="42">
        <f t="shared" si="7"/>
        <v>1</v>
      </c>
      <c r="K600" s="41"/>
    </row>
    <row r="601" spans="10:11" hidden="1" x14ac:dyDescent="0.25">
      <c r="J601" s="42">
        <f t="shared" si="7"/>
        <v>1</v>
      </c>
      <c r="K601" s="41"/>
    </row>
    <row r="602" spans="10:11" hidden="1" x14ac:dyDescent="0.25">
      <c r="J602" s="42">
        <f t="shared" si="7"/>
        <v>1</v>
      </c>
      <c r="K602" s="41"/>
    </row>
    <row r="603" spans="10:11" hidden="1" x14ac:dyDescent="0.25">
      <c r="J603" s="42">
        <f t="shared" si="7"/>
        <v>1</v>
      </c>
      <c r="K603" s="41"/>
    </row>
    <row r="604" spans="10:11" hidden="1" x14ac:dyDescent="0.25">
      <c r="J604" s="42">
        <f t="shared" si="7"/>
        <v>1</v>
      </c>
      <c r="K604" s="41"/>
    </row>
    <row r="605" spans="10:11" hidden="1" x14ac:dyDescent="0.25">
      <c r="J605" s="42">
        <f t="shared" si="7"/>
        <v>1</v>
      </c>
      <c r="K605" s="41"/>
    </row>
    <row r="606" spans="10:11" hidden="1" x14ac:dyDescent="0.25">
      <c r="J606" s="42">
        <f t="shared" si="7"/>
        <v>1</v>
      </c>
      <c r="K606" s="41"/>
    </row>
    <row r="607" spans="10:11" hidden="1" x14ac:dyDescent="0.25">
      <c r="J607" s="42">
        <f t="shared" si="7"/>
        <v>1</v>
      </c>
      <c r="K607" s="41"/>
    </row>
    <row r="608" spans="10:11" hidden="1" x14ac:dyDescent="0.25">
      <c r="J608" s="42">
        <f t="shared" si="7"/>
        <v>1</v>
      </c>
      <c r="K608" s="41"/>
    </row>
    <row r="609" spans="10:11" hidden="1" x14ac:dyDescent="0.25">
      <c r="J609" s="42">
        <f t="shared" si="7"/>
        <v>1</v>
      </c>
      <c r="K609" s="41"/>
    </row>
    <row r="610" spans="10:11" hidden="1" x14ac:dyDescent="0.25">
      <c r="J610" s="42">
        <f t="shared" si="7"/>
        <v>1</v>
      </c>
      <c r="K610" s="41"/>
    </row>
    <row r="611" spans="10:11" hidden="1" x14ac:dyDescent="0.25">
      <c r="J611" s="42">
        <f t="shared" si="7"/>
        <v>1</v>
      </c>
      <c r="K611" s="41"/>
    </row>
    <row r="612" spans="10:11" hidden="1" x14ac:dyDescent="0.25">
      <c r="J612" s="42">
        <f t="shared" si="7"/>
        <v>1</v>
      </c>
      <c r="K612" s="41"/>
    </row>
    <row r="613" spans="10:11" hidden="1" x14ac:dyDescent="0.25">
      <c r="J613" s="42">
        <f t="shared" si="7"/>
        <v>1</v>
      </c>
      <c r="K613" s="41"/>
    </row>
    <row r="614" spans="10:11" hidden="1" x14ac:dyDescent="0.25">
      <c r="J614" s="42">
        <f t="shared" si="7"/>
        <v>1</v>
      </c>
      <c r="K614" s="41"/>
    </row>
    <row r="615" spans="10:11" hidden="1" x14ac:dyDescent="0.25">
      <c r="J615" s="42">
        <f t="shared" si="7"/>
        <v>1</v>
      </c>
      <c r="K615" s="41"/>
    </row>
    <row r="616" spans="10:11" hidden="1" x14ac:dyDescent="0.25">
      <c r="J616" s="42">
        <f t="shared" si="7"/>
        <v>1</v>
      </c>
      <c r="K616" s="41"/>
    </row>
    <row r="617" spans="10:11" hidden="1" x14ac:dyDescent="0.25">
      <c r="J617" s="42">
        <f t="shared" si="7"/>
        <v>1</v>
      </c>
      <c r="K617" s="41"/>
    </row>
    <row r="618" spans="10:11" hidden="1" x14ac:dyDescent="0.25">
      <c r="J618" s="42">
        <f t="shared" si="7"/>
        <v>1</v>
      </c>
      <c r="K618" s="41"/>
    </row>
    <row r="619" spans="10:11" hidden="1" x14ac:dyDescent="0.25">
      <c r="J619" s="42">
        <f t="shared" si="7"/>
        <v>1</v>
      </c>
      <c r="K619" s="41"/>
    </row>
    <row r="620" spans="10:11" hidden="1" x14ac:dyDescent="0.25">
      <c r="J620" s="42">
        <f t="shared" si="7"/>
        <v>1</v>
      </c>
      <c r="K620" s="41"/>
    </row>
    <row r="621" spans="10:11" hidden="1" x14ac:dyDescent="0.25">
      <c r="J621" s="42">
        <f t="shared" si="7"/>
        <v>1</v>
      </c>
      <c r="K621" s="41"/>
    </row>
    <row r="622" spans="10:11" hidden="1" x14ac:dyDescent="0.25">
      <c r="J622" s="42">
        <f t="shared" si="7"/>
        <v>1</v>
      </c>
      <c r="K622" s="41"/>
    </row>
    <row r="623" spans="10:11" hidden="1" x14ac:dyDescent="0.25">
      <c r="J623" s="42">
        <f t="shared" si="7"/>
        <v>1</v>
      </c>
      <c r="K623" s="41"/>
    </row>
    <row r="624" spans="10:11" hidden="1" x14ac:dyDescent="0.25">
      <c r="J624" s="42">
        <f t="shared" si="7"/>
        <v>1</v>
      </c>
      <c r="K624" s="41"/>
    </row>
    <row r="625" spans="10:11" hidden="1" x14ac:dyDescent="0.25">
      <c r="J625" s="42">
        <f t="shared" si="7"/>
        <v>1</v>
      </c>
      <c r="K625" s="41"/>
    </row>
    <row r="626" spans="10:11" hidden="1" x14ac:dyDescent="0.25">
      <c r="J626" s="42">
        <f t="shared" si="7"/>
        <v>1</v>
      </c>
      <c r="K626" s="41"/>
    </row>
    <row r="627" spans="10:11" hidden="1" x14ac:dyDescent="0.25">
      <c r="J627" s="42">
        <f t="shared" si="7"/>
        <v>1</v>
      </c>
      <c r="K627" s="41"/>
    </row>
    <row r="628" spans="10:11" hidden="1" x14ac:dyDescent="0.25">
      <c r="J628" s="42">
        <f t="shared" si="7"/>
        <v>1</v>
      </c>
      <c r="K628" s="41"/>
    </row>
    <row r="629" spans="10:11" hidden="1" x14ac:dyDescent="0.25">
      <c r="J629" s="42">
        <f t="shared" si="7"/>
        <v>1</v>
      </c>
      <c r="K629" s="41"/>
    </row>
    <row r="630" spans="10:11" hidden="1" x14ac:dyDescent="0.25">
      <c r="J630" s="42">
        <f t="shared" ref="J630:J693" si="8">MONTH(A630)</f>
        <v>1</v>
      </c>
      <c r="K630" s="41"/>
    </row>
    <row r="631" spans="10:11" hidden="1" x14ac:dyDescent="0.25">
      <c r="J631" s="42">
        <f t="shared" si="8"/>
        <v>1</v>
      </c>
      <c r="K631" s="41"/>
    </row>
    <row r="632" spans="10:11" hidden="1" x14ac:dyDescent="0.25">
      <c r="J632" s="42">
        <f t="shared" si="8"/>
        <v>1</v>
      </c>
      <c r="K632" s="41"/>
    </row>
    <row r="633" spans="10:11" hidden="1" x14ac:dyDescent="0.25">
      <c r="J633" s="42">
        <f t="shared" si="8"/>
        <v>1</v>
      </c>
      <c r="K633" s="41"/>
    </row>
    <row r="634" spans="10:11" hidden="1" x14ac:dyDescent="0.25">
      <c r="J634" s="42">
        <f t="shared" si="8"/>
        <v>1</v>
      </c>
      <c r="K634" s="41"/>
    </row>
    <row r="635" spans="10:11" hidden="1" x14ac:dyDescent="0.25">
      <c r="J635" s="42">
        <f t="shared" si="8"/>
        <v>1</v>
      </c>
      <c r="K635" s="41"/>
    </row>
    <row r="636" spans="10:11" hidden="1" x14ac:dyDescent="0.25">
      <c r="J636" s="42">
        <f t="shared" si="8"/>
        <v>1</v>
      </c>
      <c r="K636" s="41"/>
    </row>
    <row r="637" spans="10:11" hidden="1" x14ac:dyDescent="0.25">
      <c r="J637" s="42">
        <f t="shared" si="8"/>
        <v>1</v>
      </c>
      <c r="K637" s="41"/>
    </row>
    <row r="638" spans="10:11" hidden="1" x14ac:dyDescent="0.25">
      <c r="J638" s="42">
        <f t="shared" si="8"/>
        <v>1</v>
      </c>
      <c r="K638" s="41"/>
    </row>
    <row r="639" spans="10:11" hidden="1" x14ac:dyDescent="0.25">
      <c r="J639" s="42">
        <f t="shared" si="8"/>
        <v>1</v>
      </c>
      <c r="K639" s="41"/>
    </row>
    <row r="640" spans="10:11" hidden="1" x14ac:dyDescent="0.25">
      <c r="J640" s="42">
        <f t="shared" si="8"/>
        <v>1</v>
      </c>
      <c r="K640" s="41"/>
    </row>
    <row r="641" spans="10:11" hidden="1" x14ac:dyDescent="0.25">
      <c r="J641" s="42">
        <f t="shared" si="8"/>
        <v>1</v>
      </c>
      <c r="K641" s="41"/>
    </row>
    <row r="642" spans="10:11" hidden="1" x14ac:dyDescent="0.25">
      <c r="J642" s="42">
        <f t="shared" si="8"/>
        <v>1</v>
      </c>
      <c r="K642" s="41"/>
    </row>
    <row r="643" spans="10:11" hidden="1" x14ac:dyDescent="0.25">
      <c r="J643" s="42">
        <f t="shared" si="8"/>
        <v>1</v>
      </c>
      <c r="K643" s="41"/>
    </row>
    <row r="644" spans="10:11" hidden="1" x14ac:dyDescent="0.25">
      <c r="J644" s="42">
        <f t="shared" si="8"/>
        <v>1</v>
      </c>
      <c r="K644" s="41"/>
    </row>
    <row r="645" spans="10:11" hidden="1" x14ac:dyDescent="0.25">
      <c r="J645" s="42">
        <f t="shared" si="8"/>
        <v>1</v>
      </c>
      <c r="K645" s="41"/>
    </row>
    <row r="646" spans="10:11" hidden="1" x14ac:dyDescent="0.25">
      <c r="J646" s="42">
        <f t="shared" si="8"/>
        <v>1</v>
      </c>
      <c r="K646" s="41"/>
    </row>
    <row r="647" spans="10:11" hidden="1" x14ac:dyDescent="0.25">
      <c r="J647" s="42">
        <f t="shared" si="8"/>
        <v>1</v>
      </c>
      <c r="K647" s="41"/>
    </row>
    <row r="648" spans="10:11" hidden="1" x14ac:dyDescent="0.25">
      <c r="J648" s="42">
        <f t="shared" si="8"/>
        <v>1</v>
      </c>
      <c r="K648" s="41"/>
    </row>
    <row r="649" spans="10:11" hidden="1" x14ac:dyDescent="0.25">
      <c r="J649" s="42">
        <f t="shared" si="8"/>
        <v>1</v>
      </c>
      <c r="K649" s="41"/>
    </row>
    <row r="650" spans="10:11" hidden="1" x14ac:dyDescent="0.25">
      <c r="J650" s="42">
        <f t="shared" si="8"/>
        <v>1</v>
      </c>
      <c r="K650" s="41"/>
    </row>
    <row r="651" spans="10:11" hidden="1" x14ac:dyDescent="0.25">
      <c r="J651" s="42">
        <f t="shared" si="8"/>
        <v>1</v>
      </c>
      <c r="K651" s="41"/>
    </row>
    <row r="652" spans="10:11" hidden="1" x14ac:dyDescent="0.25">
      <c r="J652" s="42">
        <f t="shared" si="8"/>
        <v>1</v>
      </c>
      <c r="K652" s="41"/>
    </row>
    <row r="653" spans="10:11" hidden="1" x14ac:dyDescent="0.25">
      <c r="J653" s="42">
        <f t="shared" si="8"/>
        <v>1</v>
      </c>
      <c r="K653" s="41"/>
    </row>
    <row r="654" spans="10:11" hidden="1" x14ac:dyDescent="0.25">
      <c r="J654" s="42">
        <f t="shared" si="8"/>
        <v>1</v>
      </c>
      <c r="K654" s="41"/>
    </row>
    <row r="655" spans="10:11" hidden="1" x14ac:dyDescent="0.25">
      <c r="J655" s="42">
        <f t="shared" si="8"/>
        <v>1</v>
      </c>
      <c r="K655" s="41"/>
    </row>
    <row r="656" spans="10:11" hidden="1" x14ac:dyDescent="0.25">
      <c r="J656" s="42">
        <f t="shared" si="8"/>
        <v>1</v>
      </c>
      <c r="K656" s="41"/>
    </row>
    <row r="657" spans="10:11" hidden="1" x14ac:dyDescent="0.25">
      <c r="J657" s="42">
        <f t="shared" si="8"/>
        <v>1</v>
      </c>
      <c r="K657" s="41"/>
    </row>
    <row r="658" spans="10:11" hidden="1" x14ac:dyDescent="0.25">
      <c r="J658" s="42">
        <f t="shared" si="8"/>
        <v>1</v>
      </c>
      <c r="K658" s="41"/>
    </row>
    <row r="659" spans="10:11" hidden="1" x14ac:dyDescent="0.25">
      <c r="J659" s="42">
        <f t="shared" si="8"/>
        <v>1</v>
      </c>
      <c r="K659" s="41"/>
    </row>
    <row r="660" spans="10:11" hidden="1" x14ac:dyDescent="0.25">
      <c r="J660" s="42">
        <f t="shared" si="8"/>
        <v>1</v>
      </c>
      <c r="K660" s="41"/>
    </row>
    <row r="661" spans="10:11" hidden="1" x14ac:dyDescent="0.25">
      <c r="J661" s="42">
        <f t="shared" si="8"/>
        <v>1</v>
      </c>
      <c r="K661" s="41"/>
    </row>
    <row r="662" spans="10:11" hidden="1" x14ac:dyDescent="0.25">
      <c r="J662" s="42">
        <f t="shared" si="8"/>
        <v>1</v>
      </c>
      <c r="K662" s="41"/>
    </row>
    <row r="663" spans="10:11" hidden="1" x14ac:dyDescent="0.25">
      <c r="J663" s="42">
        <f t="shared" si="8"/>
        <v>1</v>
      </c>
      <c r="K663" s="41"/>
    </row>
    <row r="664" spans="10:11" hidden="1" x14ac:dyDescent="0.25">
      <c r="J664" s="42">
        <f t="shared" si="8"/>
        <v>1</v>
      </c>
      <c r="K664" s="41"/>
    </row>
    <row r="665" spans="10:11" hidden="1" x14ac:dyDescent="0.25">
      <c r="J665" s="42">
        <f t="shared" si="8"/>
        <v>1</v>
      </c>
      <c r="K665" s="41"/>
    </row>
    <row r="666" spans="10:11" hidden="1" x14ac:dyDescent="0.25">
      <c r="J666" s="42">
        <f t="shared" si="8"/>
        <v>1</v>
      </c>
      <c r="K666" s="41"/>
    </row>
    <row r="667" spans="10:11" hidden="1" x14ac:dyDescent="0.25">
      <c r="J667" s="42">
        <f t="shared" si="8"/>
        <v>1</v>
      </c>
      <c r="K667" s="41"/>
    </row>
    <row r="668" spans="10:11" hidden="1" x14ac:dyDescent="0.25">
      <c r="J668" s="42">
        <f t="shared" si="8"/>
        <v>1</v>
      </c>
      <c r="K668" s="41"/>
    </row>
    <row r="669" spans="10:11" hidden="1" x14ac:dyDescent="0.25">
      <c r="J669" s="42">
        <f t="shared" si="8"/>
        <v>1</v>
      </c>
      <c r="K669" s="41"/>
    </row>
    <row r="670" spans="10:11" hidden="1" x14ac:dyDescent="0.25">
      <c r="J670" s="42">
        <f t="shared" si="8"/>
        <v>1</v>
      </c>
      <c r="K670" s="41"/>
    </row>
    <row r="671" spans="10:11" hidden="1" x14ac:dyDescent="0.25">
      <c r="J671" s="42">
        <f t="shared" si="8"/>
        <v>1</v>
      </c>
      <c r="K671" s="41"/>
    </row>
    <row r="672" spans="10:11" hidden="1" x14ac:dyDescent="0.25">
      <c r="J672" s="42">
        <f t="shared" si="8"/>
        <v>1</v>
      </c>
      <c r="K672" s="41"/>
    </row>
    <row r="673" spans="10:11" hidden="1" x14ac:dyDescent="0.25">
      <c r="J673" s="42">
        <f t="shared" si="8"/>
        <v>1</v>
      </c>
      <c r="K673" s="41"/>
    </row>
    <row r="674" spans="10:11" hidden="1" x14ac:dyDescent="0.25">
      <c r="J674" s="42">
        <f t="shared" si="8"/>
        <v>1</v>
      </c>
      <c r="K674" s="41"/>
    </row>
    <row r="675" spans="10:11" hidden="1" x14ac:dyDescent="0.25">
      <c r="J675" s="42">
        <f t="shared" si="8"/>
        <v>1</v>
      </c>
      <c r="K675" s="41"/>
    </row>
    <row r="676" spans="10:11" hidden="1" x14ac:dyDescent="0.25">
      <c r="J676" s="42">
        <f t="shared" si="8"/>
        <v>1</v>
      </c>
      <c r="K676" s="41"/>
    </row>
    <row r="677" spans="10:11" hidden="1" x14ac:dyDescent="0.25">
      <c r="J677" s="42">
        <f t="shared" si="8"/>
        <v>1</v>
      </c>
      <c r="K677" s="41"/>
    </row>
    <row r="678" spans="10:11" hidden="1" x14ac:dyDescent="0.25">
      <c r="J678" s="42">
        <f t="shared" si="8"/>
        <v>1</v>
      </c>
      <c r="K678" s="41"/>
    </row>
    <row r="679" spans="10:11" hidden="1" x14ac:dyDescent="0.25">
      <c r="J679" s="42">
        <f t="shared" si="8"/>
        <v>1</v>
      </c>
      <c r="K679" s="41"/>
    </row>
    <row r="680" spans="10:11" hidden="1" x14ac:dyDescent="0.25">
      <c r="J680" s="42">
        <f t="shared" si="8"/>
        <v>1</v>
      </c>
      <c r="K680" s="41"/>
    </row>
    <row r="681" spans="10:11" hidden="1" x14ac:dyDescent="0.25">
      <c r="J681" s="42">
        <f t="shared" si="8"/>
        <v>1</v>
      </c>
      <c r="K681" s="41"/>
    </row>
    <row r="682" spans="10:11" hidden="1" x14ac:dyDescent="0.25">
      <c r="J682" s="42">
        <f t="shared" si="8"/>
        <v>1</v>
      </c>
      <c r="K682" s="41"/>
    </row>
    <row r="683" spans="10:11" hidden="1" x14ac:dyDescent="0.25">
      <c r="J683" s="42">
        <f t="shared" si="8"/>
        <v>1</v>
      </c>
      <c r="K683" s="41"/>
    </row>
    <row r="684" spans="10:11" hidden="1" x14ac:dyDescent="0.25">
      <c r="J684" s="42">
        <f t="shared" si="8"/>
        <v>1</v>
      </c>
      <c r="K684" s="41"/>
    </row>
    <row r="685" spans="10:11" hidden="1" x14ac:dyDescent="0.25">
      <c r="J685" s="42">
        <f t="shared" si="8"/>
        <v>1</v>
      </c>
      <c r="K685" s="41"/>
    </row>
    <row r="686" spans="10:11" hidden="1" x14ac:dyDescent="0.25">
      <c r="J686" s="42">
        <f t="shared" si="8"/>
        <v>1</v>
      </c>
      <c r="K686" s="41"/>
    </row>
    <row r="687" spans="10:11" hidden="1" x14ac:dyDescent="0.25">
      <c r="J687" s="42">
        <f t="shared" si="8"/>
        <v>1</v>
      </c>
      <c r="K687" s="41"/>
    </row>
    <row r="688" spans="10:11" hidden="1" x14ac:dyDescent="0.25">
      <c r="J688" s="42">
        <f t="shared" si="8"/>
        <v>1</v>
      </c>
      <c r="K688" s="41"/>
    </row>
    <row r="689" spans="10:11" hidden="1" x14ac:dyDescent="0.25">
      <c r="J689" s="42">
        <f t="shared" si="8"/>
        <v>1</v>
      </c>
      <c r="K689" s="41"/>
    </row>
    <row r="690" spans="10:11" hidden="1" x14ac:dyDescent="0.25">
      <c r="J690" s="42">
        <f t="shared" si="8"/>
        <v>1</v>
      </c>
      <c r="K690" s="41"/>
    </row>
    <row r="691" spans="10:11" hidden="1" x14ac:dyDescent="0.25">
      <c r="J691" s="42">
        <f t="shared" si="8"/>
        <v>1</v>
      </c>
      <c r="K691" s="41"/>
    </row>
    <row r="692" spans="10:11" hidden="1" x14ac:dyDescent="0.25">
      <c r="J692" s="42">
        <f t="shared" si="8"/>
        <v>1</v>
      </c>
      <c r="K692" s="41"/>
    </row>
    <row r="693" spans="10:11" hidden="1" x14ac:dyDescent="0.25">
      <c r="J693" s="42">
        <f t="shared" si="8"/>
        <v>1</v>
      </c>
      <c r="K693" s="41"/>
    </row>
    <row r="694" spans="10:11" hidden="1" x14ac:dyDescent="0.25">
      <c r="J694" s="42">
        <f t="shared" ref="J694:J757" si="9">MONTH(A694)</f>
        <v>1</v>
      </c>
      <c r="K694" s="41"/>
    </row>
    <row r="695" spans="10:11" hidden="1" x14ac:dyDescent="0.25">
      <c r="J695" s="42">
        <f t="shared" si="9"/>
        <v>1</v>
      </c>
      <c r="K695" s="41"/>
    </row>
    <row r="696" spans="10:11" hidden="1" x14ac:dyDescent="0.25">
      <c r="J696" s="42">
        <f t="shared" si="9"/>
        <v>1</v>
      </c>
      <c r="K696" s="41"/>
    </row>
    <row r="697" spans="10:11" hidden="1" x14ac:dyDescent="0.25">
      <c r="J697" s="42">
        <f t="shared" si="9"/>
        <v>1</v>
      </c>
      <c r="K697" s="41"/>
    </row>
    <row r="698" spans="10:11" hidden="1" x14ac:dyDescent="0.25">
      <c r="J698" s="42">
        <f t="shared" si="9"/>
        <v>1</v>
      </c>
      <c r="K698" s="41"/>
    </row>
    <row r="699" spans="10:11" hidden="1" x14ac:dyDescent="0.25">
      <c r="J699" s="42">
        <f t="shared" si="9"/>
        <v>1</v>
      </c>
      <c r="K699" s="41"/>
    </row>
    <row r="700" spans="10:11" hidden="1" x14ac:dyDescent="0.25">
      <c r="J700" s="42">
        <f t="shared" si="9"/>
        <v>1</v>
      </c>
      <c r="K700" s="41"/>
    </row>
    <row r="701" spans="10:11" hidden="1" x14ac:dyDescent="0.25">
      <c r="J701" s="42">
        <f t="shared" si="9"/>
        <v>1</v>
      </c>
      <c r="K701" s="41"/>
    </row>
    <row r="702" spans="10:11" hidden="1" x14ac:dyDescent="0.25">
      <c r="J702" s="42">
        <f t="shared" si="9"/>
        <v>1</v>
      </c>
      <c r="K702" s="41"/>
    </row>
    <row r="703" spans="10:11" hidden="1" x14ac:dyDescent="0.25">
      <c r="J703" s="42">
        <f t="shared" si="9"/>
        <v>1</v>
      </c>
      <c r="K703" s="41"/>
    </row>
    <row r="704" spans="10:11" hidden="1" x14ac:dyDescent="0.25">
      <c r="J704" s="42">
        <f t="shared" si="9"/>
        <v>1</v>
      </c>
      <c r="K704" s="41"/>
    </row>
    <row r="705" spans="10:11" hidden="1" x14ac:dyDescent="0.25">
      <c r="J705" s="42">
        <f t="shared" si="9"/>
        <v>1</v>
      </c>
      <c r="K705" s="41"/>
    </row>
    <row r="706" spans="10:11" hidden="1" x14ac:dyDescent="0.25">
      <c r="J706" s="42">
        <f t="shared" si="9"/>
        <v>1</v>
      </c>
      <c r="K706" s="41"/>
    </row>
    <row r="707" spans="10:11" hidden="1" x14ac:dyDescent="0.25">
      <c r="J707" s="42">
        <f t="shared" si="9"/>
        <v>1</v>
      </c>
      <c r="K707" s="41"/>
    </row>
    <row r="708" spans="10:11" hidden="1" x14ac:dyDescent="0.25">
      <c r="J708" s="42">
        <f t="shared" si="9"/>
        <v>1</v>
      </c>
      <c r="K708" s="41"/>
    </row>
    <row r="709" spans="10:11" hidden="1" x14ac:dyDescent="0.25">
      <c r="J709" s="42">
        <f t="shared" si="9"/>
        <v>1</v>
      </c>
      <c r="K709" s="41"/>
    </row>
    <row r="710" spans="10:11" hidden="1" x14ac:dyDescent="0.25">
      <c r="J710" s="42">
        <f t="shared" si="9"/>
        <v>1</v>
      </c>
      <c r="K710" s="41"/>
    </row>
    <row r="711" spans="10:11" hidden="1" x14ac:dyDescent="0.25">
      <c r="J711" s="42">
        <f t="shared" si="9"/>
        <v>1</v>
      </c>
      <c r="K711" s="41"/>
    </row>
    <row r="712" spans="10:11" hidden="1" x14ac:dyDescent="0.25">
      <c r="J712" s="42">
        <f t="shared" si="9"/>
        <v>1</v>
      </c>
      <c r="K712" s="41"/>
    </row>
    <row r="713" spans="10:11" hidden="1" x14ac:dyDescent="0.25">
      <c r="J713" s="42">
        <f t="shared" si="9"/>
        <v>1</v>
      </c>
      <c r="K713" s="41"/>
    </row>
    <row r="714" spans="10:11" hidden="1" x14ac:dyDescent="0.25">
      <c r="J714" s="42">
        <f t="shared" si="9"/>
        <v>1</v>
      </c>
      <c r="K714" s="41"/>
    </row>
    <row r="715" spans="10:11" hidden="1" x14ac:dyDescent="0.25">
      <c r="J715" s="42">
        <f t="shared" si="9"/>
        <v>1</v>
      </c>
      <c r="K715" s="41"/>
    </row>
    <row r="716" spans="10:11" hidden="1" x14ac:dyDescent="0.25">
      <c r="J716" s="42">
        <f t="shared" si="9"/>
        <v>1</v>
      </c>
      <c r="K716" s="41"/>
    </row>
    <row r="717" spans="10:11" hidden="1" x14ac:dyDescent="0.25">
      <c r="J717" s="42">
        <f t="shared" si="9"/>
        <v>1</v>
      </c>
      <c r="K717" s="41"/>
    </row>
    <row r="718" spans="10:11" hidden="1" x14ac:dyDescent="0.25">
      <c r="J718" s="42">
        <f t="shared" si="9"/>
        <v>1</v>
      </c>
      <c r="K718" s="41"/>
    </row>
    <row r="719" spans="10:11" hidden="1" x14ac:dyDescent="0.25">
      <c r="J719" s="42">
        <f t="shared" si="9"/>
        <v>1</v>
      </c>
      <c r="K719" s="41"/>
    </row>
    <row r="720" spans="10:11" hidden="1" x14ac:dyDescent="0.25">
      <c r="J720" s="42">
        <f t="shared" si="9"/>
        <v>1</v>
      </c>
      <c r="K720" s="41"/>
    </row>
    <row r="721" spans="10:11" hidden="1" x14ac:dyDescent="0.25">
      <c r="J721" s="42">
        <f t="shared" si="9"/>
        <v>1</v>
      </c>
      <c r="K721" s="41"/>
    </row>
    <row r="722" spans="10:11" hidden="1" x14ac:dyDescent="0.25">
      <c r="J722" s="42">
        <f t="shared" si="9"/>
        <v>1</v>
      </c>
      <c r="K722" s="41"/>
    </row>
    <row r="723" spans="10:11" hidden="1" x14ac:dyDescent="0.25">
      <c r="J723" s="42">
        <f t="shared" si="9"/>
        <v>1</v>
      </c>
      <c r="K723" s="41"/>
    </row>
    <row r="724" spans="10:11" hidden="1" x14ac:dyDescent="0.25">
      <c r="J724" s="42">
        <f t="shared" si="9"/>
        <v>1</v>
      </c>
      <c r="K724" s="41"/>
    </row>
    <row r="725" spans="10:11" hidden="1" x14ac:dyDescent="0.25">
      <c r="J725" s="42">
        <f t="shared" si="9"/>
        <v>1</v>
      </c>
      <c r="K725" s="41"/>
    </row>
    <row r="726" spans="10:11" hidden="1" x14ac:dyDescent="0.25">
      <c r="J726" s="42">
        <f t="shared" si="9"/>
        <v>1</v>
      </c>
      <c r="K726" s="41"/>
    </row>
    <row r="727" spans="10:11" hidden="1" x14ac:dyDescent="0.25">
      <c r="J727" s="42">
        <f t="shared" si="9"/>
        <v>1</v>
      </c>
      <c r="K727" s="41"/>
    </row>
    <row r="728" spans="10:11" hidden="1" x14ac:dyDescent="0.25">
      <c r="J728" s="42">
        <f t="shared" si="9"/>
        <v>1</v>
      </c>
      <c r="K728" s="41"/>
    </row>
    <row r="729" spans="10:11" hidden="1" x14ac:dyDescent="0.25">
      <c r="J729" s="42">
        <f t="shared" si="9"/>
        <v>1</v>
      </c>
      <c r="K729" s="41"/>
    </row>
    <row r="730" spans="10:11" hidden="1" x14ac:dyDescent="0.25">
      <c r="J730" s="42">
        <f t="shared" si="9"/>
        <v>1</v>
      </c>
      <c r="K730" s="41"/>
    </row>
    <row r="731" spans="10:11" hidden="1" x14ac:dyDescent="0.25">
      <c r="J731" s="42">
        <f t="shared" si="9"/>
        <v>1</v>
      </c>
      <c r="K731" s="41"/>
    </row>
    <row r="732" spans="10:11" hidden="1" x14ac:dyDescent="0.25">
      <c r="J732" s="42">
        <f t="shared" si="9"/>
        <v>1</v>
      </c>
      <c r="K732" s="41"/>
    </row>
    <row r="733" spans="10:11" hidden="1" x14ac:dyDescent="0.25">
      <c r="J733" s="42">
        <f t="shared" si="9"/>
        <v>1</v>
      </c>
      <c r="K733" s="41"/>
    </row>
    <row r="734" spans="10:11" hidden="1" x14ac:dyDescent="0.25">
      <c r="J734" s="42">
        <f t="shared" si="9"/>
        <v>1</v>
      </c>
      <c r="K734" s="41"/>
    </row>
    <row r="735" spans="10:11" hidden="1" x14ac:dyDescent="0.25">
      <c r="J735" s="42">
        <f t="shared" si="9"/>
        <v>1</v>
      </c>
      <c r="K735" s="41"/>
    </row>
    <row r="736" spans="10:11" hidden="1" x14ac:dyDescent="0.25">
      <c r="J736" s="42">
        <f t="shared" si="9"/>
        <v>1</v>
      </c>
      <c r="K736" s="41"/>
    </row>
    <row r="737" spans="10:11" hidden="1" x14ac:dyDescent="0.25">
      <c r="J737" s="42">
        <f t="shared" si="9"/>
        <v>1</v>
      </c>
      <c r="K737" s="41"/>
    </row>
    <row r="738" spans="10:11" hidden="1" x14ac:dyDescent="0.25">
      <c r="J738" s="42">
        <f t="shared" si="9"/>
        <v>1</v>
      </c>
      <c r="K738" s="41"/>
    </row>
    <row r="739" spans="10:11" hidden="1" x14ac:dyDescent="0.25">
      <c r="J739" s="42">
        <f t="shared" si="9"/>
        <v>1</v>
      </c>
      <c r="K739" s="41"/>
    </row>
    <row r="740" spans="10:11" hidden="1" x14ac:dyDescent="0.25">
      <c r="J740" s="42">
        <f t="shared" si="9"/>
        <v>1</v>
      </c>
      <c r="K740" s="41"/>
    </row>
    <row r="741" spans="10:11" hidden="1" x14ac:dyDescent="0.25">
      <c r="J741" s="42">
        <f t="shared" si="9"/>
        <v>1</v>
      </c>
      <c r="K741" s="41"/>
    </row>
    <row r="742" spans="10:11" hidden="1" x14ac:dyDescent="0.25">
      <c r="J742" s="42">
        <f t="shared" si="9"/>
        <v>1</v>
      </c>
      <c r="K742" s="41"/>
    </row>
    <row r="743" spans="10:11" hidden="1" x14ac:dyDescent="0.25">
      <c r="J743" s="42">
        <f t="shared" si="9"/>
        <v>1</v>
      </c>
      <c r="K743" s="41"/>
    </row>
    <row r="744" spans="10:11" hidden="1" x14ac:dyDescent="0.25">
      <c r="J744" s="42">
        <f t="shared" si="9"/>
        <v>1</v>
      </c>
      <c r="K744" s="41"/>
    </row>
    <row r="745" spans="10:11" hidden="1" x14ac:dyDescent="0.25">
      <c r="J745" s="42">
        <f t="shared" si="9"/>
        <v>1</v>
      </c>
      <c r="K745" s="41"/>
    </row>
    <row r="746" spans="10:11" hidden="1" x14ac:dyDescent="0.25">
      <c r="J746" s="42">
        <f t="shared" si="9"/>
        <v>1</v>
      </c>
      <c r="K746" s="41"/>
    </row>
    <row r="747" spans="10:11" hidden="1" x14ac:dyDescent="0.25">
      <c r="J747" s="42">
        <f t="shared" si="9"/>
        <v>1</v>
      </c>
      <c r="K747" s="41"/>
    </row>
    <row r="748" spans="10:11" hidden="1" x14ac:dyDescent="0.25">
      <c r="J748" s="42">
        <f t="shared" si="9"/>
        <v>1</v>
      </c>
      <c r="K748" s="41"/>
    </row>
    <row r="749" spans="10:11" hidden="1" x14ac:dyDescent="0.25">
      <c r="J749" s="42">
        <f t="shared" si="9"/>
        <v>1</v>
      </c>
      <c r="K749" s="41"/>
    </row>
    <row r="750" spans="10:11" hidden="1" x14ac:dyDescent="0.25">
      <c r="J750" s="42">
        <f t="shared" si="9"/>
        <v>1</v>
      </c>
      <c r="K750" s="41"/>
    </row>
    <row r="751" spans="10:11" hidden="1" x14ac:dyDescent="0.25">
      <c r="J751" s="42">
        <f t="shared" si="9"/>
        <v>1</v>
      </c>
      <c r="K751" s="41"/>
    </row>
    <row r="752" spans="10:11" hidden="1" x14ac:dyDescent="0.25">
      <c r="J752" s="42">
        <f t="shared" si="9"/>
        <v>1</v>
      </c>
      <c r="K752" s="41"/>
    </row>
    <row r="753" spans="10:11" hidden="1" x14ac:dyDescent="0.25">
      <c r="J753" s="42">
        <f t="shared" si="9"/>
        <v>1</v>
      </c>
      <c r="K753" s="41"/>
    </row>
    <row r="754" spans="10:11" hidden="1" x14ac:dyDescent="0.25">
      <c r="J754" s="42">
        <f t="shared" si="9"/>
        <v>1</v>
      </c>
      <c r="K754" s="41"/>
    </row>
    <row r="755" spans="10:11" hidden="1" x14ac:dyDescent="0.25">
      <c r="J755" s="42">
        <f t="shared" si="9"/>
        <v>1</v>
      </c>
      <c r="K755" s="41"/>
    </row>
    <row r="756" spans="10:11" hidden="1" x14ac:dyDescent="0.25">
      <c r="J756" s="42">
        <f t="shared" si="9"/>
        <v>1</v>
      </c>
      <c r="K756" s="41"/>
    </row>
    <row r="757" spans="10:11" hidden="1" x14ac:dyDescent="0.25">
      <c r="J757" s="42">
        <f t="shared" si="9"/>
        <v>1</v>
      </c>
      <c r="K757" s="41"/>
    </row>
    <row r="758" spans="10:11" hidden="1" x14ac:dyDescent="0.25">
      <c r="J758" s="42">
        <f t="shared" ref="J758:J821" si="10">MONTH(A758)</f>
        <v>1</v>
      </c>
      <c r="K758" s="41"/>
    </row>
    <row r="759" spans="10:11" hidden="1" x14ac:dyDescent="0.25">
      <c r="J759" s="42">
        <f t="shared" si="10"/>
        <v>1</v>
      </c>
      <c r="K759" s="41"/>
    </row>
    <row r="760" spans="10:11" hidden="1" x14ac:dyDescent="0.25">
      <c r="J760" s="42">
        <f t="shared" si="10"/>
        <v>1</v>
      </c>
      <c r="K760" s="41"/>
    </row>
    <row r="761" spans="10:11" hidden="1" x14ac:dyDescent="0.25">
      <c r="J761" s="42">
        <f t="shared" si="10"/>
        <v>1</v>
      </c>
      <c r="K761" s="41"/>
    </row>
    <row r="762" spans="10:11" hidden="1" x14ac:dyDescent="0.25">
      <c r="J762" s="42">
        <f t="shared" si="10"/>
        <v>1</v>
      </c>
      <c r="K762" s="41"/>
    </row>
    <row r="763" spans="10:11" hidden="1" x14ac:dyDescent="0.25">
      <c r="J763" s="42">
        <f t="shared" si="10"/>
        <v>1</v>
      </c>
      <c r="K763" s="41"/>
    </row>
    <row r="764" spans="10:11" hidden="1" x14ac:dyDescent="0.25">
      <c r="J764" s="42">
        <f t="shared" si="10"/>
        <v>1</v>
      </c>
      <c r="K764" s="41"/>
    </row>
    <row r="765" spans="10:11" hidden="1" x14ac:dyDescent="0.25">
      <c r="J765" s="42">
        <f t="shared" si="10"/>
        <v>1</v>
      </c>
      <c r="K765" s="41"/>
    </row>
    <row r="766" spans="10:11" hidden="1" x14ac:dyDescent="0.25">
      <c r="J766" s="42">
        <f t="shared" si="10"/>
        <v>1</v>
      </c>
      <c r="K766" s="41"/>
    </row>
    <row r="767" spans="10:11" hidden="1" x14ac:dyDescent="0.25">
      <c r="J767" s="42">
        <f t="shared" si="10"/>
        <v>1</v>
      </c>
      <c r="K767" s="41"/>
    </row>
    <row r="768" spans="10:11" hidden="1" x14ac:dyDescent="0.25">
      <c r="J768" s="42">
        <f t="shared" si="10"/>
        <v>1</v>
      </c>
      <c r="K768" s="41"/>
    </row>
    <row r="769" spans="10:11" hidden="1" x14ac:dyDescent="0.25">
      <c r="J769" s="42">
        <f t="shared" si="10"/>
        <v>1</v>
      </c>
      <c r="K769" s="41"/>
    </row>
    <row r="770" spans="10:11" hidden="1" x14ac:dyDescent="0.25">
      <c r="J770" s="42">
        <f t="shared" si="10"/>
        <v>1</v>
      </c>
      <c r="K770" s="41"/>
    </row>
    <row r="771" spans="10:11" hidden="1" x14ac:dyDescent="0.25">
      <c r="J771" s="42">
        <f t="shared" si="10"/>
        <v>1</v>
      </c>
      <c r="K771" s="41"/>
    </row>
    <row r="772" spans="10:11" hidden="1" x14ac:dyDescent="0.25">
      <c r="J772" s="42">
        <f t="shared" si="10"/>
        <v>1</v>
      </c>
      <c r="K772" s="41"/>
    </row>
    <row r="773" spans="10:11" hidden="1" x14ac:dyDescent="0.25">
      <c r="J773" s="42">
        <f t="shared" si="10"/>
        <v>1</v>
      </c>
      <c r="K773" s="41"/>
    </row>
    <row r="774" spans="10:11" hidden="1" x14ac:dyDescent="0.25">
      <c r="J774" s="42">
        <f t="shared" si="10"/>
        <v>1</v>
      </c>
      <c r="K774" s="41"/>
    </row>
    <row r="775" spans="10:11" hidden="1" x14ac:dyDescent="0.25">
      <c r="J775" s="42">
        <f t="shared" si="10"/>
        <v>1</v>
      </c>
      <c r="K775" s="41"/>
    </row>
    <row r="776" spans="10:11" hidden="1" x14ac:dyDescent="0.25">
      <c r="J776" s="42">
        <f t="shared" si="10"/>
        <v>1</v>
      </c>
      <c r="K776" s="41"/>
    </row>
    <row r="777" spans="10:11" hidden="1" x14ac:dyDescent="0.25">
      <c r="J777" s="42">
        <f t="shared" si="10"/>
        <v>1</v>
      </c>
      <c r="K777" s="41"/>
    </row>
    <row r="778" spans="10:11" hidden="1" x14ac:dyDescent="0.25">
      <c r="J778" s="42">
        <f t="shared" si="10"/>
        <v>1</v>
      </c>
      <c r="K778" s="41"/>
    </row>
    <row r="779" spans="10:11" hidden="1" x14ac:dyDescent="0.25">
      <c r="J779" s="42">
        <f t="shared" si="10"/>
        <v>1</v>
      </c>
      <c r="K779" s="41"/>
    </row>
    <row r="780" spans="10:11" hidden="1" x14ac:dyDescent="0.25">
      <c r="J780" s="42">
        <f t="shared" si="10"/>
        <v>1</v>
      </c>
      <c r="K780" s="41"/>
    </row>
    <row r="781" spans="10:11" hidden="1" x14ac:dyDescent="0.25">
      <c r="J781" s="42">
        <f t="shared" si="10"/>
        <v>1</v>
      </c>
      <c r="K781" s="41"/>
    </row>
    <row r="782" spans="10:11" hidden="1" x14ac:dyDescent="0.25">
      <c r="J782" s="42">
        <f t="shared" si="10"/>
        <v>1</v>
      </c>
      <c r="K782" s="41"/>
    </row>
    <row r="783" spans="10:11" hidden="1" x14ac:dyDescent="0.25">
      <c r="J783" s="42">
        <f t="shared" si="10"/>
        <v>1</v>
      </c>
      <c r="K783" s="41"/>
    </row>
    <row r="784" spans="10:11" hidden="1" x14ac:dyDescent="0.25">
      <c r="J784" s="42">
        <f t="shared" si="10"/>
        <v>1</v>
      </c>
      <c r="K784" s="41"/>
    </row>
    <row r="785" spans="10:11" hidden="1" x14ac:dyDescent="0.25">
      <c r="J785" s="42">
        <f t="shared" si="10"/>
        <v>1</v>
      </c>
      <c r="K785" s="41"/>
    </row>
    <row r="786" spans="10:11" hidden="1" x14ac:dyDescent="0.25">
      <c r="J786" s="42">
        <f t="shared" si="10"/>
        <v>1</v>
      </c>
      <c r="K786" s="41"/>
    </row>
    <row r="787" spans="10:11" hidden="1" x14ac:dyDescent="0.25">
      <c r="J787" s="42">
        <f t="shared" si="10"/>
        <v>1</v>
      </c>
      <c r="K787" s="41"/>
    </row>
    <row r="788" spans="10:11" hidden="1" x14ac:dyDescent="0.25">
      <c r="J788" s="42">
        <f t="shared" si="10"/>
        <v>1</v>
      </c>
      <c r="K788" s="41"/>
    </row>
    <row r="789" spans="10:11" hidden="1" x14ac:dyDescent="0.25">
      <c r="J789" s="42">
        <f t="shared" si="10"/>
        <v>1</v>
      </c>
      <c r="K789" s="41"/>
    </row>
    <row r="790" spans="10:11" hidden="1" x14ac:dyDescent="0.25">
      <c r="J790" s="42">
        <f t="shared" si="10"/>
        <v>1</v>
      </c>
      <c r="K790" s="41"/>
    </row>
    <row r="791" spans="10:11" hidden="1" x14ac:dyDescent="0.25">
      <c r="J791" s="42">
        <f t="shared" si="10"/>
        <v>1</v>
      </c>
      <c r="K791" s="41"/>
    </row>
    <row r="792" spans="10:11" hidden="1" x14ac:dyDescent="0.25">
      <c r="J792" s="42">
        <f t="shared" si="10"/>
        <v>1</v>
      </c>
      <c r="K792" s="41"/>
    </row>
    <row r="793" spans="10:11" hidden="1" x14ac:dyDescent="0.25">
      <c r="J793" s="42">
        <f t="shared" si="10"/>
        <v>1</v>
      </c>
      <c r="K793" s="41"/>
    </row>
    <row r="794" spans="10:11" hidden="1" x14ac:dyDescent="0.25">
      <c r="J794" s="42">
        <f t="shared" si="10"/>
        <v>1</v>
      </c>
      <c r="K794" s="41"/>
    </row>
    <row r="795" spans="10:11" hidden="1" x14ac:dyDescent="0.25">
      <c r="J795" s="42">
        <f t="shared" si="10"/>
        <v>1</v>
      </c>
      <c r="K795" s="41"/>
    </row>
    <row r="796" spans="10:11" hidden="1" x14ac:dyDescent="0.25">
      <c r="J796" s="42">
        <f t="shared" si="10"/>
        <v>1</v>
      </c>
      <c r="K796" s="41"/>
    </row>
    <row r="797" spans="10:11" hidden="1" x14ac:dyDescent="0.25">
      <c r="J797" s="42">
        <f t="shared" si="10"/>
        <v>1</v>
      </c>
      <c r="K797" s="41"/>
    </row>
    <row r="798" spans="10:11" hidden="1" x14ac:dyDescent="0.25">
      <c r="J798" s="42">
        <f t="shared" si="10"/>
        <v>1</v>
      </c>
      <c r="K798" s="41"/>
    </row>
    <row r="799" spans="10:11" hidden="1" x14ac:dyDescent="0.25">
      <c r="J799" s="42">
        <f t="shared" si="10"/>
        <v>1</v>
      </c>
      <c r="K799" s="41"/>
    </row>
    <row r="800" spans="10:11" hidden="1" x14ac:dyDescent="0.25">
      <c r="J800" s="42">
        <f t="shared" si="10"/>
        <v>1</v>
      </c>
      <c r="K800" s="41"/>
    </row>
    <row r="801" spans="10:11" hidden="1" x14ac:dyDescent="0.25">
      <c r="J801" s="42">
        <f t="shared" si="10"/>
        <v>1</v>
      </c>
      <c r="K801" s="41"/>
    </row>
    <row r="802" spans="10:11" hidden="1" x14ac:dyDescent="0.25">
      <c r="J802" s="42">
        <f t="shared" si="10"/>
        <v>1</v>
      </c>
      <c r="K802" s="41"/>
    </row>
    <row r="803" spans="10:11" hidden="1" x14ac:dyDescent="0.25">
      <c r="J803" s="42">
        <f t="shared" si="10"/>
        <v>1</v>
      </c>
      <c r="K803" s="41"/>
    </row>
    <row r="804" spans="10:11" hidden="1" x14ac:dyDescent="0.25">
      <c r="J804" s="42">
        <f t="shared" si="10"/>
        <v>1</v>
      </c>
      <c r="K804" s="41"/>
    </row>
    <row r="805" spans="10:11" hidden="1" x14ac:dyDescent="0.25">
      <c r="J805" s="42">
        <f t="shared" si="10"/>
        <v>1</v>
      </c>
      <c r="K805" s="41"/>
    </row>
    <row r="806" spans="10:11" hidden="1" x14ac:dyDescent="0.25">
      <c r="J806" s="42">
        <f t="shared" si="10"/>
        <v>1</v>
      </c>
      <c r="K806" s="41"/>
    </row>
    <row r="807" spans="10:11" hidden="1" x14ac:dyDescent="0.25">
      <c r="J807" s="42">
        <f t="shared" si="10"/>
        <v>1</v>
      </c>
      <c r="K807" s="41"/>
    </row>
    <row r="808" spans="10:11" hidden="1" x14ac:dyDescent="0.25">
      <c r="J808" s="42">
        <f t="shared" si="10"/>
        <v>1</v>
      </c>
      <c r="K808" s="41"/>
    </row>
    <row r="809" spans="10:11" hidden="1" x14ac:dyDescent="0.25">
      <c r="J809" s="42">
        <f t="shared" si="10"/>
        <v>1</v>
      </c>
      <c r="K809" s="41"/>
    </row>
    <row r="810" spans="10:11" hidden="1" x14ac:dyDescent="0.25">
      <c r="J810" s="42">
        <f t="shared" si="10"/>
        <v>1</v>
      </c>
      <c r="K810" s="41"/>
    </row>
    <row r="811" spans="10:11" hidden="1" x14ac:dyDescent="0.25">
      <c r="J811" s="42">
        <f t="shared" si="10"/>
        <v>1</v>
      </c>
      <c r="K811" s="41"/>
    </row>
    <row r="812" spans="10:11" hidden="1" x14ac:dyDescent="0.25">
      <c r="J812" s="42">
        <f t="shared" si="10"/>
        <v>1</v>
      </c>
      <c r="K812" s="41"/>
    </row>
    <row r="813" spans="10:11" hidden="1" x14ac:dyDescent="0.25">
      <c r="J813" s="42">
        <f t="shared" si="10"/>
        <v>1</v>
      </c>
      <c r="K813" s="41"/>
    </row>
    <row r="814" spans="10:11" hidden="1" x14ac:dyDescent="0.25">
      <c r="J814" s="42">
        <f t="shared" si="10"/>
        <v>1</v>
      </c>
      <c r="K814" s="41"/>
    </row>
    <row r="815" spans="10:11" hidden="1" x14ac:dyDescent="0.25">
      <c r="J815" s="42">
        <f t="shared" si="10"/>
        <v>1</v>
      </c>
      <c r="K815" s="41"/>
    </row>
    <row r="816" spans="10:11" hidden="1" x14ac:dyDescent="0.25">
      <c r="J816" s="42">
        <f t="shared" si="10"/>
        <v>1</v>
      </c>
      <c r="K816" s="41"/>
    </row>
    <row r="817" spans="10:11" hidden="1" x14ac:dyDescent="0.25">
      <c r="J817" s="42">
        <f t="shared" si="10"/>
        <v>1</v>
      </c>
      <c r="K817" s="41"/>
    </row>
    <row r="818" spans="10:11" hidden="1" x14ac:dyDescent="0.25">
      <c r="J818" s="42">
        <f t="shared" si="10"/>
        <v>1</v>
      </c>
      <c r="K818" s="41"/>
    </row>
    <row r="819" spans="10:11" hidden="1" x14ac:dyDescent="0.25">
      <c r="J819" s="42">
        <f t="shared" si="10"/>
        <v>1</v>
      </c>
      <c r="K819" s="41"/>
    </row>
    <row r="820" spans="10:11" hidden="1" x14ac:dyDescent="0.25">
      <c r="J820" s="42">
        <f t="shared" si="10"/>
        <v>1</v>
      </c>
      <c r="K820" s="41"/>
    </row>
    <row r="821" spans="10:11" hidden="1" x14ac:dyDescent="0.25">
      <c r="J821" s="42">
        <f t="shared" si="10"/>
        <v>1</v>
      </c>
      <c r="K821" s="41"/>
    </row>
    <row r="822" spans="10:11" hidden="1" x14ac:dyDescent="0.25">
      <c r="J822" s="42">
        <f t="shared" ref="J822:J885" si="11">MONTH(A822)</f>
        <v>1</v>
      </c>
      <c r="K822" s="41"/>
    </row>
    <row r="823" spans="10:11" hidden="1" x14ac:dyDescent="0.25">
      <c r="J823" s="42">
        <f t="shared" si="11"/>
        <v>1</v>
      </c>
      <c r="K823" s="41"/>
    </row>
    <row r="824" spans="10:11" hidden="1" x14ac:dyDescent="0.25">
      <c r="J824" s="42">
        <f t="shared" si="11"/>
        <v>1</v>
      </c>
      <c r="K824" s="41"/>
    </row>
    <row r="825" spans="10:11" hidden="1" x14ac:dyDescent="0.25">
      <c r="J825" s="42">
        <f t="shared" si="11"/>
        <v>1</v>
      </c>
      <c r="K825" s="41"/>
    </row>
    <row r="826" spans="10:11" hidden="1" x14ac:dyDescent="0.25">
      <c r="J826" s="42">
        <f t="shared" si="11"/>
        <v>1</v>
      </c>
      <c r="K826" s="41"/>
    </row>
    <row r="827" spans="10:11" hidden="1" x14ac:dyDescent="0.25">
      <c r="J827" s="42">
        <f t="shared" si="11"/>
        <v>1</v>
      </c>
      <c r="K827" s="41"/>
    </row>
    <row r="828" spans="10:11" hidden="1" x14ac:dyDescent="0.25">
      <c r="J828" s="42">
        <f t="shared" si="11"/>
        <v>1</v>
      </c>
      <c r="K828" s="41"/>
    </row>
    <row r="829" spans="10:11" hidden="1" x14ac:dyDescent="0.25">
      <c r="J829" s="42">
        <f t="shared" si="11"/>
        <v>1</v>
      </c>
      <c r="K829" s="41"/>
    </row>
    <row r="830" spans="10:11" hidden="1" x14ac:dyDescent="0.25">
      <c r="J830" s="42">
        <f t="shared" si="11"/>
        <v>1</v>
      </c>
      <c r="K830" s="41"/>
    </row>
    <row r="831" spans="10:11" hidden="1" x14ac:dyDescent="0.25">
      <c r="J831" s="42">
        <f t="shared" si="11"/>
        <v>1</v>
      </c>
      <c r="K831" s="41"/>
    </row>
    <row r="832" spans="10:11" hidden="1" x14ac:dyDescent="0.25">
      <c r="J832" s="42">
        <f t="shared" si="11"/>
        <v>1</v>
      </c>
      <c r="K832" s="41"/>
    </row>
    <row r="833" spans="10:11" hidden="1" x14ac:dyDescent="0.25">
      <c r="J833" s="42">
        <f t="shared" si="11"/>
        <v>1</v>
      </c>
      <c r="K833" s="41"/>
    </row>
    <row r="834" spans="10:11" hidden="1" x14ac:dyDescent="0.25">
      <c r="J834" s="42">
        <f t="shared" si="11"/>
        <v>1</v>
      </c>
      <c r="K834" s="41"/>
    </row>
    <row r="835" spans="10:11" hidden="1" x14ac:dyDescent="0.25">
      <c r="J835" s="42">
        <f t="shared" si="11"/>
        <v>1</v>
      </c>
      <c r="K835" s="41"/>
    </row>
    <row r="836" spans="10:11" hidden="1" x14ac:dyDescent="0.25">
      <c r="J836" s="42">
        <f t="shared" si="11"/>
        <v>1</v>
      </c>
      <c r="K836" s="41"/>
    </row>
    <row r="837" spans="10:11" hidden="1" x14ac:dyDescent="0.25">
      <c r="J837" s="42">
        <f t="shared" si="11"/>
        <v>1</v>
      </c>
      <c r="K837" s="41"/>
    </row>
    <row r="838" spans="10:11" hidden="1" x14ac:dyDescent="0.25">
      <c r="J838" s="42">
        <f t="shared" si="11"/>
        <v>1</v>
      </c>
      <c r="K838" s="41"/>
    </row>
    <row r="839" spans="10:11" hidden="1" x14ac:dyDescent="0.25">
      <c r="J839" s="42">
        <f t="shared" si="11"/>
        <v>1</v>
      </c>
      <c r="K839" s="41"/>
    </row>
    <row r="840" spans="10:11" hidden="1" x14ac:dyDescent="0.25">
      <c r="J840" s="42">
        <f t="shared" si="11"/>
        <v>1</v>
      </c>
      <c r="K840" s="41"/>
    </row>
    <row r="841" spans="10:11" hidden="1" x14ac:dyDescent="0.25">
      <c r="J841" s="42">
        <f t="shared" si="11"/>
        <v>1</v>
      </c>
      <c r="K841" s="41"/>
    </row>
    <row r="842" spans="10:11" hidden="1" x14ac:dyDescent="0.25">
      <c r="J842" s="42">
        <f t="shared" si="11"/>
        <v>1</v>
      </c>
      <c r="K842" s="41"/>
    </row>
    <row r="843" spans="10:11" hidden="1" x14ac:dyDescent="0.25">
      <c r="J843" s="42">
        <f t="shared" si="11"/>
        <v>1</v>
      </c>
      <c r="K843" s="41"/>
    </row>
    <row r="844" spans="10:11" hidden="1" x14ac:dyDescent="0.25">
      <c r="J844" s="42">
        <f t="shared" si="11"/>
        <v>1</v>
      </c>
      <c r="K844" s="41"/>
    </row>
    <row r="845" spans="10:11" hidden="1" x14ac:dyDescent="0.25">
      <c r="J845" s="42">
        <f t="shared" si="11"/>
        <v>1</v>
      </c>
      <c r="K845" s="41"/>
    </row>
    <row r="846" spans="10:11" hidden="1" x14ac:dyDescent="0.25">
      <c r="J846" s="42">
        <f t="shared" si="11"/>
        <v>1</v>
      </c>
      <c r="K846" s="41"/>
    </row>
    <row r="847" spans="10:11" hidden="1" x14ac:dyDescent="0.25">
      <c r="J847" s="42">
        <f t="shared" si="11"/>
        <v>1</v>
      </c>
      <c r="K847" s="41"/>
    </row>
    <row r="848" spans="10:11" hidden="1" x14ac:dyDescent="0.25">
      <c r="J848" s="42">
        <f t="shared" si="11"/>
        <v>1</v>
      </c>
      <c r="K848" s="41"/>
    </row>
    <row r="849" spans="10:11" hidden="1" x14ac:dyDescent="0.25">
      <c r="J849" s="42">
        <f t="shared" si="11"/>
        <v>1</v>
      </c>
      <c r="K849" s="41"/>
    </row>
    <row r="850" spans="10:11" hidden="1" x14ac:dyDescent="0.25">
      <c r="J850" s="42">
        <f t="shared" si="11"/>
        <v>1</v>
      </c>
      <c r="K850" s="41"/>
    </row>
    <row r="851" spans="10:11" hidden="1" x14ac:dyDescent="0.25">
      <c r="J851" s="42">
        <f t="shared" si="11"/>
        <v>1</v>
      </c>
      <c r="K851" s="41"/>
    </row>
    <row r="852" spans="10:11" hidden="1" x14ac:dyDescent="0.25">
      <c r="J852" s="42">
        <f t="shared" si="11"/>
        <v>1</v>
      </c>
      <c r="K852" s="41"/>
    </row>
    <row r="853" spans="10:11" hidden="1" x14ac:dyDescent="0.25">
      <c r="J853" s="42">
        <f t="shared" si="11"/>
        <v>1</v>
      </c>
      <c r="K853" s="41"/>
    </row>
    <row r="854" spans="10:11" hidden="1" x14ac:dyDescent="0.25">
      <c r="J854" s="42">
        <f t="shared" si="11"/>
        <v>1</v>
      </c>
      <c r="K854" s="41"/>
    </row>
    <row r="855" spans="10:11" hidden="1" x14ac:dyDescent="0.25">
      <c r="J855" s="42">
        <f t="shared" si="11"/>
        <v>1</v>
      </c>
      <c r="K855" s="41"/>
    </row>
    <row r="856" spans="10:11" hidden="1" x14ac:dyDescent="0.25">
      <c r="J856" s="42">
        <f t="shared" si="11"/>
        <v>1</v>
      </c>
      <c r="K856" s="41"/>
    </row>
    <row r="857" spans="10:11" hidden="1" x14ac:dyDescent="0.25">
      <c r="J857" s="42">
        <f t="shared" si="11"/>
        <v>1</v>
      </c>
      <c r="K857" s="41"/>
    </row>
    <row r="858" spans="10:11" hidden="1" x14ac:dyDescent="0.25">
      <c r="J858" s="42">
        <f t="shared" si="11"/>
        <v>1</v>
      </c>
      <c r="K858" s="41"/>
    </row>
    <row r="859" spans="10:11" hidden="1" x14ac:dyDescent="0.25">
      <c r="J859" s="42">
        <f t="shared" si="11"/>
        <v>1</v>
      </c>
      <c r="K859" s="41"/>
    </row>
    <row r="860" spans="10:11" hidden="1" x14ac:dyDescent="0.25">
      <c r="J860" s="42">
        <f t="shared" si="11"/>
        <v>1</v>
      </c>
      <c r="K860" s="41"/>
    </row>
    <row r="861" spans="10:11" hidden="1" x14ac:dyDescent="0.25">
      <c r="J861" s="42">
        <f t="shared" si="11"/>
        <v>1</v>
      </c>
      <c r="K861" s="41"/>
    </row>
    <row r="862" spans="10:11" hidden="1" x14ac:dyDescent="0.25">
      <c r="J862" s="42">
        <f t="shared" si="11"/>
        <v>1</v>
      </c>
      <c r="K862" s="41"/>
    </row>
    <row r="863" spans="10:11" hidden="1" x14ac:dyDescent="0.25">
      <c r="J863" s="42">
        <f t="shared" si="11"/>
        <v>1</v>
      </c>
      <c r="K863" s="41"/>
    </row>
    <row r="864" spans="10:11" hidden="1" x14ac:dyDescent="0.25">
      <c r="J864" s="42">
        <f t="shared" si="11"/>
        <v>1</v>
      </c>
      <c r="K864" s="41"/>
    </row>
    <row r="865" spans="10:11" hidden="1" x14ac:dyDescent="0.25">
      <c r="J865" s="42">
        <f t="shared" si="11"/>
        <v>1</v>
      </c>
      <c r="K865" s="41"/>
    </row>
    <row r="866" spans="10:11" hidden="1" x14ac:dyDescent="0.25">
      <c r="J866" s="42">
        <f t="shared" si="11"/>
        <v>1</v>
      </c>
      <c r="K866" s="41"/>
    </row>
    <row r="867" spans="10:11" hidden="1" x14ac:dyDescent="0.25">
      <c r="J867" s="42">
        <f t="shared" si="11"/>
        <v>1</v>
      </c>
      <c r="K867" s="41"/>
    </row>
    <row r="868" spans="10:11" hidden="1" x14ac:dyDescent="0.25">
      <c r="J868" s="42">
        <f t="shared" si="11"/>
        <v>1</v>
      </c>
      <c r="K868" s="41"/>
    </row>
    <row r="869" spans="10:11" hidden="1" x14ac:dyDescent="0.25">
      <c r="J869" s="42">
        <f t="shared" si="11"/>
        <v>1</v>
      </c>
      <c r="K869" s="41"/>
    </row>
    <row r="870" spans="10:11" hidden="1" x14ac:dyDescent="0.25">
      <c r="J870" s="42">
        <f t="shared" si="11"/>
        <v>1</v>
      </c>
      <c r="K870" s="41"/>
    </row>
    <row r="871" spans="10:11" hidden="1" x14ac:dyDescent="0.25">
      <c r="J871" s="42">
        <f t="shared" si="11"/>
        <v>1</v>
      </c>
      <c r="K871" s="41"/>
    </row>
    <row r="872" spans="10:11" hidden="1" x14ac:dyDescent="0.25">
      <c r="J872" s="42">
        <f t="shared" si="11"/>
        <v>1</v>
      </c>
      <c r="K872" s="41"/>
    </row>
    <row r="873" spans="10:11" hidden="1" x14ac:dyDescent="0.25">
      <c r="J873" s="42">
        <f t="shared" si="11"/>
        <v>1</v>
      </c>
      <c r="K873" s="41"/>
    </row>
    <row r="874" spans="10:11" hidden="1" x14ac:dyDescent="0.25">
      <c r="J874" s="42">
        <f t="shared" si="11"/>
        <v>1</v>
      </c>
      <c r="K874" s="41"/>
    </row>
    <row r="875" spans="10:11" hidden="1" x14ac:dyDescent="0.25">
      <c r="J875" s="42">
        <f t="shared" si="11"/>
        <v>1</v>
      </c>
      <c r="K875" s="41"/>
    </row>
    <row r="876" spans="10:11" hidden="1" x14ac:dyDescent="0.25">
      <c r="J876" s="42">
        <f t="shared" si="11"/>
        <v>1</v>
      </c>
      <c r="K876" s="41"/>
    </row>
    <row r="877" spans="10:11" hidden="1" x14ac:dyDescent="0.25">
      <c r="J877" s="42">
        <f t="shared" si="11"/>
        <v>1</v>
      </c>
      <c r="K877" s="41"/>
    </row>
    <row r="878" spans="10:11" hidden="1" x14ac:dyDescent="0.25">
      <c r="J878" s="42">
        <f t="shared" si="11"/>
        <v>1</v>
      </c>
      <c r="K878" s="41"/>
    </row>
    <row r="879" spans="10:11" hidden="1" x14ac:dyDescent="0.25">
      <c r="J879" s="42">
        <f t="shared" si="11"/>
        <v>1</v>
      </c>
      <c r="K879" s="41"/>
    </row>
    <row r="880" spans="10:11" hidden="1" x14ac:dyDescent="0.25">
      <c r="J880" s="42">
        <f t="shared" si="11"/>
        <v>1</v>
      </c>
      <c r="K880" s="41"/>
    </row>
    <row r="881" spans="10:11" hidden="1" x14ac:dyDescent="0.25">
      <c r="J881" s="42">
        <f t="shared" si="11"/>
        <v>1</v>
      </c>
      <c r="K881" s="41"/>
    </row>
    <row r="882" spans="10:11" hidden="1" x14ac:dyDescent="0.25">
      <c r="J882" s="42">
        <f t="shared" si="11"/>
        <v>1</v>
      </c>
      <c r="K882" s="41"/>
    </row>
    <row r="883" spans="10:11" hidden="1" x14ac:dyDescent="0.25">
      <c r="J883" s="42">
        <f t="shared" si="11"/>
        <v>1</v>
      </c>
      <c r="K883" s="41"/>
    </row>
    <row r="884" spans="10:11" hidden="1" x14ac:dyDescent="0.25">
      <c r="J884" s="42">
        <f t="shared" si="11"/>
        <v>1</v>
      </c>
      <c r="K884" s="41"/>
    </row>
    <row r="885" spans="10:11" hidden="1" x14ac:dyDescent="0.25">
      <c r="J885" s="42">
        <f t="shared" si="11"/>
        <v>1</v>
      </c>
      <c r="K885" s="41"/>
    </row>
    <row r="886" spans="10:11" hidden="1" x14ac:dyDescent="0.25">
      <c r="J886" s="42">
        <f t="shared" ref="J886:J949" si="12">MONTH(A886)</f>
        <v>1</v>
      </c>
      <c r="K886" s="41"/>
    </row>
    <row r="887" spans="10:11" hidden="1" x14ac:dyDescent="0.25">
      <c r="J887" s="42">
        <f t="shared" si="12"/>
        <v>1</v>
      </c>
      <c r="K887" s="41"/>
    </row>
    <row r="888" spans="10:11" hidden="1" x14ac:dyDescent="0.25">
      <c r="J888" s="42">
        <f t="shared" si="12"/>
        <v>1</v>
      </c>
      <c r="K888" s="41"/>
    </row>
    <row r="889" spans="10:11" hidden="1" x14ac:dyDescent="0.25">
      <c r="J889" s="42">
        <f t="shared" si="12"/>
        <v>1</v>
      </c>
      <c r="K889" s="41"/>
    </row>
    <row r="890" spans="10:11" hidden="1" x14ac:dyDescent="0.25">
      <c r="J890" s="42">
        <f t="shared" si="12"/>
        <v>1</v>
      </c>
      <c r="K890" s="41"/>
    </row>
    <row r="891" spans="10:11" hidden="1" x14ac:dyDescent="0.25">
      <c r="J891" s="42">
        <f t="shared" si="12"/>
        <v>1</v>
      </c>
      <c r="K891" s="41"/>
    </row>
    <row r="892" spans="10:11" hidden="1" x14ac:dyDescent="0.25">
      <c r="J892" s="42">
        <f t="shared" si="12"/>
        <v>1</v>
      </c>
      <c r="K892" s="41"/>
    </row>
    <row r="893" spans="10:11" hidden="1" x14ac:dyDescent="0.25">
      <c r="J893" s="42">
        <f t="shared" si="12"/>
        <v>1</v>
      </c>
      <c r="K893" s="41"/>
    </row>
    <row r="894" spans="10:11" hidden="1" x14ac:dyDescent="0.25">
      <c r="J894" s="42">
        <f t="shared" si="12"/>
        <v>1</v>
      </c>
      <c r="K894" s="41"/>
    </row>
    <row r="895" spans="10:11" hidden="1" x14ac:dyDescent="0.25">
      <c r="J895" s="42">
        <f t="shared" si="12"/>
        <v>1</v>
      </c>
      <c r="K895" s="41"/>
    </row>
    <row r="896" spans="10:11" hidden="1" x14ac:dyDescent="0.25">
      <c r="J896" s="42">
        <f t="shared" si="12"/>
        <v>1</v>
      </c>
      <c r="K896" s="41"/>
    </row>
    <row r="897" spans="10:11" hidden="1" x14ac:dyDescent="0.25">
      <c r="J897" s="42">
        <f t="shared" si="12"/>
        <v>1</v>
      </c>
      <c r="K897" s="41"/>
    </row>
    <row r="898" spans="10:11" hidden="1" x14ac:dyDescent="0.25">
      <c r="J898" s="42">
        <f t="shared" si="12"/>
        <v>1</v>
      </c>
      <c r="K898" s="41"/>
    </row>
    <row r="899" spans="10:11" hidden="1" x14ac:dyDescent="0.25">
      <c r="J899" s="42">
        <f t="shared" si="12"/>
        <v>1</v>
      </c>
      <c r="K899" s="41"/>
    </row>
    <row r="900" spans="10:11" hidden="1" x14ac:dyDescent="0.25">
      <c r="J900" s="42">
        <f t="shared" si="12"/>
        <v>1</v>
      </c>
      <c r="K900" s="41"/>
    </row>
    <row r="901" spans="10:11" hidden="1" x14ac:dyDescent="0.25">
      <c r="J901" s="42">
        <f t="shared" si="12"/>
        <v>1</v>
      </c>
      <c r="K901" s="41"/>
    </row>
    <row r="902" spans="10:11" hidden="1" x14ac:dyDescent="0.25">
      <c r="J902" s="42">
        <f t="shared" si="12"/>
        <v>1</v>
      </c>
      <c r="K902" s="41"/>
    </row>
    <row r="903" spans="10:11" hidden="1" x14ac:dyDescent="0.25">
      <c r="J903" s="42">
        <f t="shared" si="12"/>
        <v>1</v>
      </c>
      <c r="K903" s="41"/>
    </row>
    <row r="904" spans="10:11" hidden="1" x14ac:dyDescent="0.25">
      <c r="J904" s="42">
        <f t="shared" si="12"/>
        <v>1</v>
      </c>
      <c r="K904" s="41"/>
    </row>
    <row r="905" spans="10:11" hidden="1" x14ac:dyDescent="0.25">
      <c r="J905" s="42">
        <f t="shared" si="12"/>
        <v>1</v>
      </c>
      <c r="K905" s="41"/>
    </row>
    <row r="906" spans="10:11" hidden="1" x14ac:dyDescent="0.25">
      <c r="J906" s="42">
        <f t="shared" si="12"/>
        <v>1</v>
      </c>
      <c r="K906" s="41"/>
    </row>
    <row r="907" spans="10:11" hidden="1" x14ac:dyDescent="0.25">
      <c r="J907" s="42">
        <f t="shared" si="12"/>
        <v>1</v>
      </c>
      <c r="K907" s="41"/>
    </row>
    <row r="908" spans="10:11" hidden="1" x14ac:dyDescent="0.25">
      <c r="J908" s="42">
        <f t="shared" si="12"/>
        <v>1</v>
      </c>
      <c r="K908" s="41"/>
    </row>
    <row r="909" spans="10:11" hidden="1" x14ac:dyDescent="0.25">
      <c r="J909" s="42">
        <f t="shared" si="12"/>
        <v>1</v>
      </c>
      <c r="K909" s="41"/>
    </row>
    <row r="910" spans="10:11" hidden="1" x14ac:dyDescent="0.25">
      <c r="J910" s="42">
        <f t="shared" si="12"/>
        <v>1</v>
      </c>
      <c r="K910" s="41"/>
    </row>
    <row r="911" spans="10:11" hidden="1" x14ac:dyDescent="0.25">
      <c r="J911" s="42">
        <f t="shared" si="12"/>
        <v>1</v>
      </c>
      <c r="K911" s="41"/>
    </row>
    <row r="912" spans="10:11" hidden="1" x14ac:dyDescent="0.25">
      <c r="J912" s="42">
        <f t="shared" si="12"/>
        <v>1</v>
      </c>
      <c r="K912" s="41"/>
    </row>
    <row r="913" spans="10:11" hidden="1" x14ac:dyDescent="0.25">
      <c r="J913" s="42">
        <f t="shared" si="12"/>
        <v>1</v>
      </c>
      <c r="K913" s="41"/>
    </row>
    <row r="914" spans="10:11" hidden="1" x14ac:dyDescent="0.25">
      <c r="J914" s="42">
        <f t="shared" si="12"/>
        <v>1</v>
      </c>
      <c r="K914" s="41"/>
    </row>
    <row r="915" spans="10:11" hidden="1" x14ac:dyDescent="0.25">
      <c r="J915" s="42">
        <f t="shared" si="12"/>
        <v>1</v>
      </c>
      <c r="K915" s="41"/>
    </row>
    <row r="916" spans="10:11" hidden="1" x14ac:dyDescent="0.25">
      <c r="J916" s="42">
        <f t="shared" si="12"/>
        <v>1</v>
      </c>
      <c r="K916" s="41"/>
    </row>
    <row r="917" spans="10:11" hidden="1" x14ac:dyDescent="0.25">
      <c r="J917" s="42">
        <f t="shared" si="12"/>
        <v>1</v>
      </c>
      <c r="K917" s="41"/>
    </row>
    <row r="918" spans="10:11" hidden="1" x14ac:dyDescent="0.25">
      <c r="J918" s="42">
        <f t="shared" si="12"/>
        <v>1</v>
      </c>
      <c r="K918" s="41"/>
    </row>
    <row r="919" spans="10:11" hidden="1" x14ac:dyDescent="0.25">
      <c r="J919" s="42">
        <f t="shared" si="12"/>
        <v>1</v>
      </c>
      <c r="K919" s="41"/>
    </row>
    <row r="920" spans="10:11" hidden="1" x14ac:dyDescent="0.25">
      <c r="J920" s="42">
        <f t="shared" si="12"/>
        <v>1</v>
      </c>
      <c r="K920" s="41"/>
    </row>
    <row r="921" spans="10:11" hidden="1" x14ac:dyDescent="0.25">
      <c r="J921" s="42">
        <f t="shared" si="12"/>
        <v>1</v>
      </c>
      <c r="K921" s="41"/>
    </row>
    <row r="922" spans="10:11" hidden="1" x14ac:dyDescent="0.25">
      <c r="J922" s="42">
        <f t="shared" si="12"/>
        <v>1</v>
      </c>
      <c r="K922" s="41"/>
    </row>
    <row r="923" spans="10:11" hidden="1" x14ac:dyDescent="0.25">
      <c r="J923" s="42">
        <f t="shared" si="12"/>
        <v>1</v>
      </c>
      <c r="K923" s="41"/>
    </row>
    <row r="924" spans="10:11" hidden="1" x14ac:dyDescent="0.25">
      <c r="J924" s="42">
        <f t="shared" si="12"/>
        <v>1</v>
      </c>
      <c r="K924" s="41"/>
    </row>
    <row r="925" spans="10:11" hidden="1" x14ac:dyDescent="0.25">
      <c r="J925" s="42">
        <f t="shared" si="12"/>
        <v>1</v>
      </c>
      <c r="K925" s="41"/>
    </row>
    <row r="926" spans="10:11" hidden="1" x14ac:dyDescent="0.25">
      <c r="J926" s="42">
        <f t="shared" si="12"/>
        <v>1</v>
      </c>
      <c r="K926" s="41"/>
    </row>
    <row r="927" spans="10:11" hidden="1" x14ac:dyDescent="0.25">
      <c r="J927" s="42">
        <f t="shared" si="12"/>
        <v>1</v>
      </c>
      <c r="K927" s="41"/>
    </row>
    <row r="928" spans="10:11" hidden="1" x14ac:dyDescent="0.25">
      <c r="J928" s="42">
        <f t="shared" si="12"/>
        <v>1</v>
      </c>
      <c r="K928" s="41"/>
    </row>
    <row r="929" spans="10:11" hidden="1" x14ac:dyDescent="0.25">
      <c r="J929" s="42">
        <f t="shared" si="12"/>
        <v>1</v>
      </c>
      <c r="K929" s="41"/>
    </row>
    <row r="930" spans="10:11" hidden="1" x14ac:dyDescent="0.25">
      <c r="J930" s="42">
        <f t="shared" si="12"/>
        <v>1</v>
      </c>
      <c r="K930" s="41"/>
    </row>
    <row r="931" spans="10:11" hidden="1" x14ac:dyDescent="0.25">
      <c r="J931" s="42">
        <f t="shared" si="12"/>
        <v>1</v>
      </c>
      <c r="K931" s="41"/>
    </row>
    <row r="932" spans="10:11" hidden="1" x14ac:dyDescent="0.25">
      <c r="J932" s="42">
        <f t="shared" si="12"/>
        <v>1</v>
      </c>
      <c r="K932" s="41"/>
    </row>
    <row r="933" spans="10:11" hidden="1" x14ac:dyDescent="0.25">
      <c r="J933" s="42">
        <f t="shared" si="12"/>
        <v>1</v>
      </c>
      <c r="K933" s="41"/>
    </row>
    <row r="934" spans="10:11" hidden="1" x14ac:dyDescent="0.25">
      <c r="J934" s="42">
        <f t="shared" si="12"/>
        <v>1</v>
      </c>
      <c r="K934" s="41"/>
    </row>
    <row r="935" spans="10:11" hidden="1" x14ac:dyDescent="0.25">
      <c r="J935" s="42">
        <f t="shared" si="12"/>
        <v>1</v>
      </c>
      <c r="K935" s="41"/>
    </row>
    <row r="936" spans="10:11" hidden="1" x14ac:dyDescent="0.25">
      <c r="J936" s="42">
        <f t="shared" si="12"/>
        <v>1</v>
      </c>
      <c r="K936" s="41"/>
    </row>
    <row r="937" spans="10:11" hidden="1" x14ac:dyDescent="0.25">
      <c r="J937" s="42">
        <f t="shared" si="12"/>
        <v>1</v>
      </c>
      <c r="K937" s="41"/>
    </row>
    <row r="938" spans="10:11" hidden="1" x14ac:dyDescent="0.25">
      <c r="J938" s="42">
        <f t="shared" si="12"/>
        <v>1</v>
      </c>
      <c r="K938" s="41"/>
    </row>
    <row r="939" spans="10:11" hidden="1" x14ac:dyDescent="0.25">
      <c r="J939" s="42">
        <f t="shared" si="12"/>
        <v>1</v>
      </c>
      <c r="K939" s="41"/>
    </row>
    <row r="940" spans="10:11" hidden="1" x14ac:dyDescent="0.25">
      <c r="J940" s="42">
        <f t="shared" si="12"/>
        <v>1</v>
      </c>
      <c r="K940" s="41"/>
    </row>
    <row r="941" spans="10:11" hidden="1" x14ac:dyDescent="0.25">
      <c r="J941" s="42">
        <f t="shared" si="12"/>
        <v>1</v>
      </c>
      <c r="K941" s="41"/>
    </row>
    <row r="942" spans="10:11" hidden="1" x14ac:dyDescent="0.25">
      <c r="J942" s="42">
        <f t="shared" si="12"/>
        <v>1</v>
      </c>
      <c r="K942" s="41"/>
    </row>
    <row r="943" spans="10:11" hidden="1" x14ac:dyDescent="0.25">
      <c r="J943" s="42">
        <f t="shared" si="12"/>
        <v>1</v>
      </c>
      <c r="K943" s="41"/>
    </row>
    <row r="944" spans="10:11" hidden="1" x14ac:dyDescent="0.25">
      <c r="J944" s="42">
        <f t="shared" si="12"/>
        <v>1</v>
      </c>
      <c r="K944" s="41"/>
    </row>
    <row r="945" spans="10:11" hidden="1" x14ac:dyDescent="0.25">
      <c r="J945" s="42">
        <f t="shared" si="12"/>
        <v>1</v>
      </c>
      <c r="K945" s="41"/>
    </row>
    <row r="946" spans="10:11" hidden="1" x14ac:dyDescent="0.25">
      <c r="J946" s="42">
        <f t="shared" si="12"/>
        <v>1</v>
      </c>
      <c r="K946" s="41"/>
    </row>
    <row r="947" spans="10:11" hidden="1" x14ac:dyDescent="0.25">
      <c r="J947" s="42">
        <f t="shared" si="12"/>
        <v>1</v>
      </c>
      <c r="K947" s="41"/>
    </row>
    <row r="948" spans="10:11" hidden="1" x14ac:dyDescent="0.25">
      <c r="J948" s="42">
        <f t="shared" si="12"/>
        <v>1</v>
      </c>
      <c r="K948" s="41"/>
    </row>
    <row r="949" spans="10:11" hidden="1" x14ac:dyDescent="0.25">
      <c r="J949" s="42">
        <f t="shared" si="12"/>
        <v>1</v>
      </c>
      <c r="K949" s="41"/>
    </row>
    <row r="950" spans="10:11" hidden="1" x14ac:dyDescent="0.25">
      <c r="J950" s="42">
        <f t="shared" ref="J950:J1013" si="13">MONTH(A950)</f>
        <v>1</v>
      </c>
      <c r="K950" s="41"/>
    </row>
    <row r="951" spans="10:11" hidden="1" x14ac:dyDescent="0.25">
      <c r="J951" s="42">
        <f t="shared" si="13"/>
        <v>1</v>
      </c>
      <c r="K951" s="41"/>
    </row>
    <row r="952" spans="10:11" hidden="1" x14ac:dyDescent="0.25">
      <c r="J952" s="42">
        <f t="shared" si="13"/>
        <v>1</v>
      </c>
      <c r="K952" s="41"/>
    </row>
    <row r="953" spans="10:11" hidden="1" x14ac:dyDescent="0.25">
      <c r="J953" s="42">
        <f t="shared" si="13"/>
        <v>1</v>
      </c>
      <c r="K953" s="41"/>
    </row>
    <row r="954" spans="10:11" hidden="1" x14ac:dyDescent="0.25">
      <c r="J954" s="42">
        <f t="shared" si="13"/>
        <v>1</v>
      </c>
      <c r="K954" s="41"/>
    </row>
    <row r="955" spans="10:11" hidden="1" x14ac:dyDescent="0.25">
      <c r="J955" s="42">
        <f t="shared" si="13"/>
        <v>1</v>
      </c>
      <c r="K955" s="41"/>
    </row>
    <row r="956" spans="10:11" hidden="1" x14ac:dyDescent="0.25">
      <c r="J956" s="42">
        <f t="shared" si="13"/>
        <v>1</v>
      </c>
      <c r="K956" s="41"/>
    </row>
    <row r="957" spans="10:11" hidden="1" x14ac:dyDescent="0.25">
      <c r="J957" s="42">
        <f t="shared" si="13"/>
        <v>1</v>
      </c>
      <c r="K957" s="41"/>
    </row>
    <row r="958" spans="10:11" hidden="1" x14ac:dyDescent="0.25">
      <c r="J958" s="42">
        <f t="shared" si="13"/>
        <v>1</v>
      </c>
      <c r="K958" s="41"/>
    </row>
    <row r="959" spans="10:11" hidden="1" x14ac:dyDescent="0.25">
      <c r="J959" s="42">
        <f t="shared" si="13"/>
        <v>1</v>
      </c>
      <c r="K959" s="41"/>
    </row>
    <row r="960" spans="10:11" hidden="1" x14ac:dyDescent="0.25">
      <c r="J960" s="42">
        <f t="shared" si="13"/>
        <v>1</v>
      </c>
      <c r="K960" s="41"/>
    </row>
    <row r="961" spans="10:11" hidden="1" x14ac:dyDescent="0.25">
      <c r="J961" s="42">
        <f t="shared" si="13"/>
        <v>1</v>
      </c>
      <c r="K961" s="41"/>
    </row>
    <row r="962" spans="10:11" hidden="1" x14ac:dyDescent="0.25">
      <c r="J962" s="42">
        <f t="shared" si="13"/>
        <v>1</v>
      </c>
      <c r="K962" s="41"/>
    </row>
    <row r="963" spans="10:11" hidden="1" x14ac:dyDescent="0.25">
      <c r="J963" s="42">
        <f t="shared" si="13"/>
        <v>1</v>
      </c>
      <c r="K963" s="41"/>
    </row>
    <row r="964" spans="10:11" hidden="1" x14ac:dyDescent="0.25">
      <c r="J964" s="42">
        <f t="shared" si="13"/>
        <v>1</v>
      </c>
      <c r="K964" s="41"/>
    </row>
    <row r="965" spans="10:11" hidden="1" x14ac:dyDescent="0.25">
      <c r="J965" s="42">
        <f t="shared" si="13"/>
        <v>1</v>
      </c>
      <c r="K965" s="41"/>
    </row>
    <row r="966" spans="10:11" hidden="1" x14ac:dyDescent="0.25">
      <c r="J966" s="42">
        <f t="shared" si="13"/>
        <v>1</v>
      </c>
      <c r="K966" s="41"/>
    </row>
    <row r="967" spans="10:11" hidden="1" x14ac:dyDescent="0.25">
      <c r="J967" s="42">
        <f t="shared" si="13"/>
        <v>1</v>
      </c>
      <c r="K967" s="41"/>
    </row>
    <row r="968" spans="10:11" hidden="1" x14ac:dyDescent="0.25">
      <c r="J968" s="42">
        <f t="shared" si="13"/>
        <v>1</v>
      </c>
      <c r="K968" s="41"/>
    </row>
    <row r="969" spans="10:11" hidden="1" x14ac:dyDescent="0.25">
      <c r="J969" s="42">
        <f t="shared" si="13"/>
        <v>1</v>
      </c>
      <c r="K969" s="41"/>
    </row>
    <row r="970" spans="10:11" hidden="1" x14ac:dyDescent="0.25">
      <c r="J970" s="42">
        <f t="shared" si="13"/>
        <v>1</v>
      </c>
      <c r="K970" s="41"/>
    </row>
    <row r="971" spans="10:11" hidden="1" x14ac:dyDescent="0.25">
      <c r="J971" s="42">
        <f t="shared" si="13"/>
        <v>1</v>
      </c>
      <c r="K971" s="41"/>
    </row>
    <row r="972" spans="10:11" hidden="1" x14ac:dyDescent="0.25">
      <c r="J972" s="42">
        <f t="shared" si="13"/>
        <v>1</v>
      </c>
      <c r="K972" s="41"/>
    </row>
    <row r="973" spans="10:11" hidden="1" x14ac:dyDescent="0.25">
      <c r="J973" s="42">
        <f t="shared" si="13"/>
        <v>1</v>
      </c>
      <c r="K973" s="41"/>
    </row>
    <row r="974" spans="10:11" hidden="1" x14ac:dyDescent="0.25">
      <c r="J974" s="42">
        <f t="shared" si="13"/>
        <v>1</v>
      </c>
      <c r="K974" s="41"/>
    </row>
    <row r="975" spans="10:11" hidden="1" x14ac:dyDescent="0.25">
      <c r="J975" s="42">
        <f t="shared" si="13"/>
        <v>1</v>
      </c>
      <c r="K975" s="41"/>
    </row>
    <row r="976" spans="10:11" hidden="1" x14ac:dyDescent="0.25">
      <c r="J976" s="42">
        <f t="shared" si="13"/>
        <v>1</v>
      </c>
      <c r="K976" s="41"/>
    </row>
    <row r="977" spans="10:11" hidden="1" x14ac:dyDescent="0.25">
      <c r="J977" s="42">
        <f t="shared" si="13"/>
        <v>1</v>
      </c>
      <c r="K977" s="41"/>
    </row>
    <row r="978" spans="10:11" hidden="1" x14ac:dyDescent="0.25">
      <c r="J978" s="42">
        <f t="shared" si="13"/>
        <v>1</v>
      </c>
      <c r="K978" s="41"/>
    </row>
    <row r="979" spans="10:11" hidden="1" x14ac:dyDescent="0.25">
      <c r="J979" s="42">
        <f t="shared" si="13"/>
        <v>1</v>
      </c>
      <c r="K979" s="41"/>
    </row>
    <row r="980" spans="10:11" hidden="1" x14ac:dyDescent="0.25">
      <c r="J980" s="42">
        <f t="shared" si="13"/>
        <v>1</v>
      </c>
      <c r="K980" s="41"/>
    </row>
    <row r="981" spans="10:11" hidden="1" x14ac:dyDescent="0.25">
      <c r="J981" s="42">
        <f t="shared" si="13"/>
        <v>1</v>
      </c>
      <c r="K981" s="41"/>
    </row>
    <row r="982" spans="10:11" hidden="1" x14ac:dyDescent="0.25">
      <c r="J982" s="42">
        <f t="shared" si="13"/>
        <v>1</v>
      </c>
      <c r="K982" s="41"/>
    </row>
    <row r="983" spans="10:11" hidden="1" x14ac:dyDescent="0.25">
      <c r="J983" s="42">
        <f t="shared" si="13"/>
        <v>1</v>
      </c>
      <c r="K983" s="41"/>
    </row>
    <row r="984" spans="10:11" hidden="1" x14ac:dyDescent="0.25">
      <c r="J984" s="42">
        <f t="shared" si="13"/>
        <v>1</v>
      </c>
      <c r="K984" s="41"/>
    </row>
    <row r="985" spans="10:11" hidden="1" x14ac:dyDescent="0.25">
      <c r="J985" s="42">
        <f t="shared" si="13"/>
        <v>1</v>
      </c>
      <c r="K985" s="41"/>
    </row>
    <row r="986" spans="10:11" hidden="1" x14ac:dyDescent="0.25">
      <c r="J986" s="42">
        <f t="shared" si="13"/>
        <v>1</v>
      </c>
      <c r="K986" s="41"/>
    </row>
    <row r="987" spans="10:11" hidden="1" x14ac:dyDescent="0.25">
      <c r="J987" s="42">
        <f t="shared" si="13"/>
        <v>1</v>
      </c>
      <c r="K987" s="41"/>
    </row>
    <row r="988" spans="10:11" hidden="1" x14ac:dyDescent="0.25">
      <c r="J988" s="42">
        <f t="shared" si="13"/>
        <v>1</v>
      </c>
      <c r="K988" s="41"/>
    </row>
    <row r="989" spans="10:11" hidden="1" x14ac:dyDescent="0.25">
      <c r="J989" s="42">
        <f t="shared" si="13"/>
        <v>1</v>
      </c>
      <c r="K989" s="41"/>
    </row>
    <row r="990" spans="10:11" hidden="1" x14ac:dyDescent="0.25">
      <c r="J990" s="42">
        <f t="shared" si="13"/>
        <v>1</v>
      </c>
      <c r="K990" s="41"/>
    </row>
    <row r="991" spans="10:11" hidden="1" x14ac:dyDescent="0.25">
      <c r="J991" s="42">
        <f t="shared" si="13"/>
        <v>1</v>
      </c>
      <c r="K991" s="41"/>
    </row>
    <row r="992" spans="10:11" hidden="1" x14ac:dyDescent="0.25">
      <c r="J992" s="42">
        <f t="shared" si="13"/>
        <v>1</v>
      </c>
      <c r="K992" s="41"/>
    </row>
    <row r="993" spans="10:11" hidden="1" x14ac:dyDescent="0.25">
      <c r="J993" s="42">
        <f t="shared" si="13"/>
        <v>1</v>
      </c>
      <c r="K993" s="41"/>
    </row>
    <row r="994" spans="10:11" hidden="1" x14ac:dyDescent="0.25">
      <c r="J994" s="42">
        <f t="shared" si="13"/>
        <v>1</v>
      </c>
      <c r="K994" s="41"/>
    </row>
    <row r="995" spans="10:11" hidden="1" x14ac:dyDescent="0.25">
      <c r="J995" s="42">
        <f t="shared" si="13"/>
        <v>1</v>
      </c>
      <c r="K995" s="41"/>
    </row>
    <row r="996" spans="10:11" hidden="1" x14ac:dyDescent="0.25">
      <c r="J996" s="42">
        <f t="shared" si="13"/>
        <v>1</v>
      </c>
      <c r="K996" s="41"/>
    </row>
    <row r="997" spans="10:11" hidden="1" x14ac:dyDescent="0.25">
      <c r="J997" s="42">
        <f t="shared" si="13"/>
        <v>1</v>
      </c>
      <c r="K997" s="41"/>
    </row>
    <row r="998" spans="10:11" hidden="1" x14ac:dyDescent="0.25">
      <c r="J998" s="42">
        <f t="shared" si="13"/>
        <v>1</v>
      </c>
      <c r="K998" s="41"/>
    </row>
    <row r="999" spans="10:11" hidden="1" x14ac:dyDescent="0.25">
      <c r="J999" s="42">
        <f t="shared" si="13"/>
        <v>1</v>
      </c>
      <c r="K999" s="41"/>
    </row>
    <row r="1000" spans="10:11" hidden="1" x14ac:dyDescent="0.25">
      <c r="J1000" s="42">
        <f t="shared" si="13"/>
        <v>1</v>
      </c>
      <c r="K1000" s="41"/>
    </row>
    <row r="1001" spans="10:11" hidden="1" x14ac:dyDescent="0.25">
      <c r="J1001" s="42">
        <f t="shared" si="13"/>
        <v>1</v>
      </c>
      <c r="K1001" s="41"/>
    </row>
    <row r="1002" spans="10:11" hidden="1" x14ac:dyDescent="0.25">
      <c r="J1002" s="42">
        <f t="shared" si="13"/>
        <v>1</v>
      </c>
      <c r="K1002" s="41"/>
    </row>
    <row r="1003" spans="10:11" hidden="1" x14ac:dyDescent="0.25">
      <c r="J1003" s="42">
        <f t="shared" si="13"/>
        <v>1</v>
      </c>
      <c r="K1003" s="41"/>
    </row>
    <row r="1004" spans="10:11" hidden="1" x14ac:dyDescent="0.25">
      <c r="J1004" s="42">
        <f t="shared" si="13"/>
        <v>1</v>
      </c>
      <c r="K1004" s="41"/>
    </row>
    <row r="1005" spans="10:11" hidden="1" x14ac:dyDescent="0.25">
      <c r="J1005" s="42">
        <f t="shared" si="13"/>
        <v>1</v>
      </c>
      <c r="K1005" s="41"/>
    </row>
    <row r="1006" spans="10:11" hidden="1" x14ac:dyDescent="0.25">
      <c r="J1006" s="42">
        <f t="shared" si="13"/>
        <v>1</v>
      </c>
      <c r="K1006" s="41"/>
    </row>
    <row r="1007" spans="10:11" hidden="1" x14ac:dyDescent="0.25">
      <c r="J1007" s="42">
        <f t="shared" si="13"/>
        <v>1</v>
      </c>
      <c r="K1007" s="41"/>
    </row>
    <row r="1008" spans="10:11" hidden="1" x14ac:dyDescent="0.25">
      <c r="J1008" s="42">
        <f t="shared" si="13"/>
        <v>1</v>
      </c>
      <c r="K1008" s="41"/>
    </row>
    <row r="1009" spans="10:11" hidden="1" x14ac:dyDescent="0.25">
      <c r="J1009" s="42">
        <f t="shared" si="13"/>
        <v>1</v>
      </c>
      <c r="K1009" s="41"/>
    </row>
    <row r="1010" spans="10:11" hidden="1" x14ac:dyDescent="0.25">
      <c r="J1010" s="42">
        <f t="shared" si="13"/>
        <v>1</v>
      </c>
      <c r="K1010" s="41"/>
    </row>
    <row r="1011" spans="10:11" hidden="1" x14ac:dyDescent="0.25">
      <c r="J1011" s="42">
        <f t="shared" si="13"/>
        <v>1</v>
      </c>
      <c r="K1011" s="41"/>
    </row>
    <row r="1012" spans="10:11" hidden="1" x14ac:dyDescent="0.25">
      <c r="J1012" s="42">
        <f t="shared" si="13"/>
        <v>1</v>
      </c>
      <c r="K1012" s="41"/>
    </row>
    <row r="1013" spans="10:11" hidden="1" x14ac:dyDescent="0.25">
      <c r="J1013" s="42">
        <f t="shared" si="13"/>
        <v>1</v>
      </c>
      <c r="K1013" s="41"/>
    </row>
    <row r="1014" spans="10:11" hidden="1" x14ac:dyDescent="0.25">
      <c r="J1014" s="42">
        <f t="shared" ref="J1014:J1077" si="14">MONTH(A1014)</f>
        <v>1</v>
      </c>
      <c r="K1014" s="41"/>
    </row>
    <row r="1015" spans="10:11" hidden="1" x14ac:dyDescent="0.25">
      <c r="J1015" s="42">
        <f t="shared" si="14"/>
        <v>1</v>
      </c>
      <c r="K1015" s="41"/>
    </row>
    <row r="1016" spans="10:11" hidden="1" x14ac:dyDescent="0.25">
      <c r="J1016" s="42">
        <f t="shared" si="14"/>
        <v>1</v>
      </c>
      <c r="K1016" s="41"/>
    </row>
    <row r="1017" spans="10:11" hidden="1" x14ac:dyDescent="0.25">
      <c r="J1017" s="42">
        <f t="shared" si="14"/>
        <v>1</v>
      </c>
      <c r="K1017" s="41"/>
    </row>
    <row r="1018" spans="10:11" hidden="1" x14ac:dyDescent="0.25">
      <c r="J1018" s="42">
        <f t="shared" si="14"/>
        <v>1</v>
      </c>
      <c r="K1018" s="41"/>
    </row>
    <row r="1019" spans="10:11" hidden="1" x14ac:dyDescent="0.25">
      <c r="J1019" s="42">
        <f t="shared" si="14"/>
        <v>1</v>
      </c>
      <c r="K1019" s="41"/>
    </row>
    <row r="1020" spans="10:11" hidden="1" x14ac:dyDescent="0.25">
      <c r="J1020" s="42">
        <f t="shared" si="14"/>
        <v>1</v>
      </c>
      <c r="K1020" s="41"/>
    </row>
    <row r="1021" spans="10:11" hidden="1" x14ac:dyDescent="0.25">
      <c r="J1021" s="42">
        <f t="shared" si="14"/>
        <v>1</v>
      </c>
      <c r="K1021" s="41"/>
    </row>
    <row r="1022" spans="10:11" hidden="1" x14ac:dyDescent="0.25">
      <c r="J1022" s="42">
        <f t="shared" si="14"/>
        <v>1</v>
      </c>
      <c r="K1022" s="41"/>
    </row>
    <row r="1023" spans="10:11" hidden="1" x14ac:dyDescent="0.25">
      <c r="J1023" s="42">
        <f t="shared" si="14"/>
        <v>1</v>
      </c>
      <c r="K1023" s="41"/>
    </row>
    <row r="1024" spans="10:11" hidden="1" x14ac:dyDescent="0.25">
      <c r="J1024" s="42">
        <f t="shared" si="14"/>
        <v>1</v>
      </c>
      <c r="K1024" s="41"/>
    </row>
    <row r="1025" spans="10:11" hidden="1" x14ac:dyDescent="0.25">
      <c r="J1025" s="42">
        <f t="shared" si="14"/>
        <v>1</v>
      </c>
      <c r="K1025" s="41"/>
    </row>
    <row r="1026" spans="10:11" hidden="1" x14ac:dyDescent="0.25">
      <c r="J1026" s="42">
        <f t="shared" si="14"/>
        <v>1</v>
      </c>
      <c r="K1026" s="41"/>
    </row>
    <row r="1027" spans="10:11" hidden="1" x14ac:dyDescent="0.25">
      <c r="J1027" s="42">
        <f t="shared" si="14"/>
        <v>1</v>
      </c>
      <c r="K1027" s="41"/>
    </row>
    <row r="1028" spans="10:11" hidden="1" x14ac:dyDescent="0.25">
      <c r="J1028" s="42">
        <f t="shared" si="14"/>
        <v>1</v>
      </c>
      <c r="K1028" s="41"/>
    </row>
    <row r="1029" spans="10:11" hidden="1" x14ac:dyDescent="0.25">
      <c r="J1029" s="42">
        <f t="shared" si="14"/>
        <v>1</v>
      </c>
      <c r="K1029" s="41"/>
    </row>
    <row r="1030" spans="10:11" hidden="1" x14ac:dyDescent="0.25">
      <c r="J1030" s="42">
        <f t="shared" si="14"/>
        <v>1</v>
      </c>
      <c r="K1030" s="41"/>
    </row>
    <row r="1031" spans="10:11" hidden="1" x14ac:dyDescent="0.25">
      <c r="J1031" s="42">
        <f t="shared" si="14"/>
        <v>1</v>
      </c>
      <c r="K1031" s="41"/>
    </row>
    <row r="1032" spans="10:11" hidden="1" x14ac:dyDescent="0.25">
      <c r="J1032" s="42">
        <f t="shared" si="14"/>
        <v>1</v>
      </c>
      <c r="K1032" s="41"/>
    </row>
    <row r="1033" spans="10:11" hidden="1" x14ac:dyDescent="0.25">
      <c r="J1033" s="42">
        <f t="shared" si="14"/>
        <v>1</v>
      </c>
      <c r="K1033" s="41"/>
    </row>
    <row r="1034" spans="10:11" hidden="1" x14ac:dyDescent="0.25">
      <c r="J1034" s="42">
        <f t="shared" si="14"/>
        <v>1</v>
      </c>
      <c r="K1034" s="41"/>
    </row>
    <row r="1035" spans="10:11" hidden="1" x14ac:dyDescent="0.25">
      <c r="J1035" s="42">
        <f t="shared" si="14"/>
        <v>1</v>
      </c>
      <c r="K1035" s="41"/>
    </row>
    <row r="1036" spans="10:11" hidden="1" x14ac:dyDescent="0.25">
      <c r="J1036" s="42">
        <f t="shared" si="14"/>
        <v>1</v>
      </c>
      <c r="K1036" s="41"/>
    </row>
    <row r="1037" spans="10:11" hidden="1" x14ac:dyDescent="0.25">
      <c r="J1037" s="42">
        <f t="shared" si="14"/>
        <v>1</v>
      </c>
      <c r="K1037" s="41"/>
    </row>
    <row r="1038" spans="10:11" hidden="1" x14ac:dyDescent="0.25">
      <c r="J1038" s="42">
        <f t="shared" si="14"/>
        <v>1</v>
      </c>
      <c r="K1038" s="41"/>
    </row>
    <row r="1039" spans="10:11" hidden="1" x14ac:dyDescent="0.25">
      <c r="J1039" s="42">
        <f t="shared" si="14"/>
        <v>1</v>
      </c>
      <c r="K1039" s="41"/>
    </row>
    <row r="1040" spans="10:11" hidden="1" x14ac:dyDescent="0.25">
      <c r="J1040" s="42">
        <f t="shared" si="14"/>
        <v>1</v>
      </c>
      <c r="K1040" s="41"/>
    </row>
    <row r="1041" spans="10:11" hidden="1" x14ac:dyDescent="0.25">
      <c r="J1041" s="42">
        <f t="shared" si="14"/>
        <v>1</v>
      </c>
      <c r="K1041" s="41"/>
    </row>
    <row r="1042" spans="10:11" hidden="1" x14ac:dyDescent="0.25">
      <c r="J1042" s="42">
        <f t="shared" si="14"/>
        <v>1</v>
      </c>
      <c r="K1042" s="41"/>
    </row>
    <row r="1043" spans="10:11" hidden="1" x14ac:dyDescent="0.25">
      <c r="J1043" s="42">
        <f t="shared" si="14"/>
        <v>1</v>
      </c>
      <c r="K1043" s="41"/>
    </row>
    <row r="1044" spans="10:11" hidden="1" x14ac:dyDescent="0.25">
      <c r="J1044" s="42">
        <f t="shared" si="14"/>
        <v>1</v>
      </c>
      <c r="K1044" s="41"/>
    </row>
    <row r="1045" spans="10:11" hidden="1" x14ac:dyDescent="0.25">
      <c r="J1045" s="42">
        <f t="shared" si="14"/>
        <v>1</v>
      </c>
      <c r="K1045" s="41"/>
    </row>
    <row r="1046" spans="10:11" hidden="1" x14ac:dyDescent="0.25">
      <c r="J1046" s="42">
        <f t="shared" si="14"/>
        <v>1</v>
      </c>
      <c r="K1046" s="41"/>
    </row>
    <row r="1047" spans="10:11" hidden="1" x14ac:dyDescent="0.25">
      <c r="J1047" s="42">
        <f t="shared" si="14"/>
        <v>1</v>
      </c>
      <c r="K1047" s="41"/>
    </row>
    <row r="1048" spans="10:11" hidden="1" x14ac:dyDescent="0.25">
      <c r="J1048" s="42">
        <f t="shared" si="14"/>
        <v>1</v>
      </c>
      <c r="K1048" s="41"/>
    </row>
    <row r="1049" spans="10:11" hidden="1" x14ac:dyDescent="0.25">
      <c r="J1049" s="42">
        <f t="shared" si="14"/>
        <v>1</v>
      </c>
      <c r="K1049" s="41"/>
    </row>
    <row r="1050" spans="10:11" hidden="1" x14ac:dyDescent="0.25">
      <c r="J1050" s="42">
        <f t="shared" si="14"/>
        <v>1</v>
      </c>
      <c r="K1050" s="41"/>
    </row>
    <row r="1051" spans="10:11" hidden="1" x14ac:dyDescent="0.25">
      <c r="J1051" s="42">
        <f t="shared" si="14"/>
        <v>1</v>
      </c>
      <c r="K1051" s="41"/>
    </row>
    <row r="1052" spans="10:11" hidden="1" x14ac:dyDescent="0.25">
      <c r="J1052" s="42">
        <f t="shared" si="14"/>
        <v>1</v>
      </c>
      <c r="K1052" s="41"/>
    </row>
    <row r="1053" spans="10:11" hidden="1" x14ac:dyDescent="0.25">
      <c r="J1053" s="42">
        <f t="shared" si="14"/>
        <v>1</v>
      </c>
      <c r="K1053" s="41"/>
    </row>
    <row r="1054" spans="10:11" hidden="1" x14ac:dyDescent="0.25">
      <c r="J1054" s="42">
        <f t="shared" si="14"/>
        <v>1</v>
      </c>
      <c r="K1054" s="41"/>
    </row>
    <row r="1055" spans="10:11" hidden="1" x14ac:dyDescent="0.25">
      <c r="J1055" s="42">
        <f t="shared" si="14"/>
        <v>1</v>
      </c>
      <c r="K1055" s="41"/>
    </row>
    <row r="1056" spans="10:11" hidden="1" x14ac:dyDescent="0.25">
      <c r="J1056" s="42">
        <f t="shared" si="14"/>
        <v>1</v>
      </c>
      <c r="K1056" s="41"/>
    </row>
    <row r="1057" spans="10:11" hidden="1" x14ac:dyDescent="0.25">
      <c r="J1057" s="42">
        <f t="shared" si="14"/>
        <v>1</v>
      </c>
      <c r="K1057" s="41"/>
    </row>
    <row r="1058" spans="10:11" hidden="1" x14ac:dyDescent="0.25">
      <c r="J1058" s="42">
        <f t="shared" si="14"/>
        <v>1</v>
      </c>
      <c r="K1058" s="41"/>
    </row>
    <row r="1059" spans="10:11" hidden="1" x14ac:dyDescent="0.25">
      <c r="J1059" s="42">
        <f t="shared" si="14"/>
        <v>1</v>
      </c>
      <c r="K1059" s="41"/>
    </row>
    <row r="1060" spans="10:11" hidden="1" x14ac:dyDescent="0.25">
      <c r="J1060" s="42">
        <f t="shared" si="14"/>
        <v>1</v>
      </c>
      <c r="K1060" s="41"/>
    </row>
    <row r="1061" spans="10:11" hidden="1" x14ac:dyDescent="0.25">
      <c r="J1061" s="42">
        <f t="shared" si="14"/>
        <v>1</v>
      </c>
      <c r="K1061" s="41"/>
    </row>
    <row r="1062" spans="10:11" hidden="1" x14ac:dyDescent="0.25">
      <c r="J1062" s="42">
        <f t="shared" si="14"/>
        <v>1</v>
      </c>
      <c r="K1062" s="41"/>
    </row>
    <row r="1063" spans="10:11" hidden="1" x14ac:dyDescent="0.25">
      <c r="J1063" s="42">
        <f t="shared" si="14"/>
        <v>1</v>
      </c>
      <c r="K1063" s="41"/>
    </row>
    <row r="1064" spans="10:11" hidden="1" x14ac:dyDescent="0.25">
      <c r="J1064" s="42">
        <f t="shared" si="14"/>
        <v>1</v>
      </c>
      <c r="K1064" s="41"/>
    </row>
    <row r="1065" spans="10:11" hidden="1" x14ac:dyDescent="0.25">
      <c r="J1065" s="42">
        <f t="shared" si="14"/>
        <v>1</v>
      </c>
      <c r="K1065" s="41"/>
    </row>
    <row r="1066" spans="10:11" hidden="1" x14ac:dyDescent="0.25">
      <c r="J1066" s="42">
        <f t="shared" si="14"/>
        <v>1</v>
      </c>
      <c r="K1066" s="41"/>
    </row>
    <row r="1067" spans="10:11" hidden="1" x14ac:dyDescent="0.25">
      <c r="J1067" s="42">
        <f t="shared" si="14"/>
        <v>1</v>
      </c>
      <c r="K1067" s="41"/>
    </row>
    <row r="1068" spans="10:11" hidden="1" x14ac:dyDescent="0.25">
      <c r="J1068" s="42">
        <f t="shared" si="14"/>
        <v>1</v>
      </c>
      <c r="K1068" s="41"/>
    </row>
    <row r="1069" spans="10:11" hidden="1" x14ac:dyDescent="0.25">
      <c r="J1069" s="42">
        <f t="shared" si="14"/>
        <v>1</v>
      </c>
      <c r="K1069" s="41"/>
    </row>
    <row r="1070" spans="10:11" hidden="1" x14ac:dyDescent="0.25">
      <c r="J1070" s="42">
        <f t="shared" si="14"/>
        <v>1</v>
      </c>
      <c r="K1070" s="41"/>
    </row>
    <row r="1071" spans="10:11" hidden="1" x14ac:dyDescent="0.25">
      <c r="J1071" s="42">
        <f t="shared" si="14"/>
        <v>1</v>
      </c>
      <c r="K1071" s="41"/>
    </row>
    <row r="1072" spans="10:11" hidden="1" x14ac:dyDescent="0.25">
      <c r="J1072" s="42">
        <f t="shared" si="14"/>
        <v>1</v>
      </c>
      <c r="K1072" s="41"/>
    </row>
    <row r="1073" spans="10:11" hidden="1" x14ac:dyDescent="0.25">
      <c r="J1073" s="42">
        <f t="shared" si="14"/>
        <v>1</v>
      </c>
      <c r="K1073" s="41"/>
    </row>
    <row r="1074" spans="10:11" hidden="1" x14ac:dyDescent="0.25">
      <c r="J1074" s="42">
        <f t="shared" si="14"/>
        <v>1</v>
      </c>
      <c r="K1074" s="41"/>
    </row>
    <row r="1075" spans="10:11" hidden="1" x14ac:dyDescent="0.25">
      <c r="J1075" s="42">
        <f t="shared" si="14"/>
        <v>1</v>
      </c>
      <c r="K1075" s="41"/>
    </row>
    <row r="1076" spans="10:11" hidden="1" x14ac:dyDescent="0.25">
      <c r="J1076" s="42">
        <f t="shared" si="14"/>
        <v>1</v>
      </c>
      <c r="K1076" s="41"/>
    </row>
    <row r="1077" spans="10:11" hidden="1" x14ac:dyDescent="0.25">
      <c r="J1077" s="42">
        <f t="shared" si="14"/>
        <v>1</v>
      </c>
      <c r="K1077" s="41"/>
    </row>
    <row r="1078" spans="10:11" hidden="1" x14ac:dyDescent="0.25">
      <c r="J1078" s="42">
        <f t="shared" ref="J1078:J1141" si="15">MONTH(A1078)</f>
        <v>1</v>
      </c>
      <c r="K1078" s="41"/>
    </row>
    <row r="1079" spans="10:11" hidden="1" x14ac:dyDescent="0.25">
      <c r="J1079" s="42">
        <f t="shared" si="15"/>
        <v>1</v>
      </c>
      <c r="K1079" s="41"/>
    </row>
    <row r="1080" spans="10:11" hidden="1" x14ac:dyDescent="0.25">
      <c r="J1080" s="42">
        <f t="shared" si="15"/>
        <v>1</v>
      </c>
      <c r="K1080" s="41"/>
    </row>
    <row r="1081" spans="10:11" hidden="1" x14ac:dyDescent="0.25">
      <c r="J1081" s="42">
        <f t="shared" si="15"/>
        <v>1</v>
      </c>
      <c r="K1081" s="41"/>
    </row>
    <row r="1082" spans="10:11" hidden="1" x14ac:dyDescent="0.25">
      <c r="J1082" s="42">
        <f t="shared" si="15"/>
        <v>1</v>
      </c>
      <c r="K1082" s="41"/>
    </row>
    <row r="1083" spans="10:11" hidden="1" x14ac:dyDescent="0.25">
      <c r="J1083" s="42">
        <f t="shared" si="15"/>
        <v>1</v>
      </c>
      <c r="K1083" s="41"/>
    </row>
    <row r="1084" spans="10:11" hidden="1" x14ac:dyDescent="0.25">
      <c r="J1084" s="42">
        <f t="shared" si="15"/>
        <v>1</v>
      </c>
      <c r="K1084" s="41"/>
    </row>
    <row r="1085" spans="10:11" hidden="1" x14ac:dyDescent="0.25">
      <c r="J1085" s="42">
        <f t="shared" si="15"/>
        <v>1</v>
      </c>
      <c r="K1085" s="41"/>
    </row>
    <row r="1086" spans="10:11" hidden="1" x14ac:dyDescent="0.25">
      <c r="J1086" s="42">
        <f t="shared" si="15"/>
        <v>1</v>
      </c>
      <c r="K1086" s="41"/>
    </row>
    <row r="1087" spans="10:11" hidden="1" x14ac:dyDescent="0.25">
      <c r="J1087" s="42">
        <f t="shared" si="15"/>
        <v>1</v>
      </c>
      <c r="K1087" s="41"/>
    </row>
    <row r="1088" spans="10:11" hidden="1" x14ac:dyDescent="0.25">
      <c r="J1088" s="42">
        <f t="shared" si="15"/>
        <v>1</v>
      </c>
      <c r="K1088" s="41"/>
    </row>
    <row r="1089" spans="10:11" hidden="1" x14ac:dyDescent="0.25">
      <c r="J1089" s="42">
        <f t="shared" si="15"/>
        <v>1</v>
      </c>
      <c r="K1089" s="41"/>
    </row>
    <row r="1090" spans="10:11" hidden="1" x14ac:dyDescent="0.25">
      <c r="J1090" s="42">
        <f t="shared" si="15"/>
        <v>1</v>
      </c>
      <c r="K1090" s="41"/>
    </row>
    <row r="1091" spans="10:11" hidden="1" x14ac:dyDescent="0.25">
      <c r="J1091" s="42">
        <f t="shared" si="15"/>
        <v>1</v>
      </c>
      <c r="K1091" s="41"/>
    </row>
    <row r="1092" spans="10:11" hidden="1" x14ac:dyDescent="0.25">
      <c r="J1092" s="42">
        <f t="shared" si="15"/>
        <v>1</v>
      </c>
      <c r="K1092" s="41"/>
    </row>
    <row r="1093" spans="10:11" hidden="1" x14ac:dyDescent="0.25">
      <c r="J1093" s="42">
        <f t="shared" si="15"/>
        <v>1</v>
      </c>
      <c r="K1093" s="41"/>
    </row>
    <row r="1094" spans="10:11" hidden="1" x14ac:dyDescent="0.25">
      <c r="J1094" s="42">
        <f t="shared" si="15"/>
        <v>1</v>
      </c>
      <c r="K1094" s="41"/>
    </row>
    <row r="1095" spans="10:11" hidden="1" x14ac:dyDescent="0.25">
      <c r="J1095" s="42">
        <f t="shared" si="15"/>
        <v>1</v>
      </c>
      <c r="K1095" s="41"/>
    </row>
    <row r="1096" spans="10:11" hidden="1" x14ac:dyDescent="0.25">
      <c r="J1096" s="42">
        <f t="shared" si="15"/>
        <v>1</v>
      </c>
      <c r="K1096" s="41"/>
    </row>
    <row r="1097" spans="10:11" hidden="1" x14ac:dyDescent="0.25">
      <c r="J1097" s="42">
        <f t="shared" si="15"/>
        <v>1</v>
      </c>
      <c r="K1097" s="41"/>
    </row>
    <row r="1098" spans="10:11" hidden="1" x14ac:dyDescent="0.25">
      <c r="J1098" s="42">
        <f t="shared" si="15"/>
        <v>1</v>
      </c>
      <c r="K1098" s="41"/>
    </row>
    <row r="1099" spans="10:11" hidden="1" x14ac:dyDescent="0.25">
      <c r="J1099" s="42">
        <f t="shared" si="15"/>
        <v>1</v>
      </c>
      <c r="K1099" s="41"/>
    </row>
    <row r="1100" spans="10:11" hidden="1" x14ac:dyDescent="0.25">
      <c r="J1100" s="42">
        <f t="shared" si="15"/>
        <v>1</v>
      </c>
      <c r="K1100" s="41"/>
    </row>
    <row r="1101" spans="10:11" hidden="1" x14ac:dyDescent="0.25">
      <c r="J1101" s="42">
        <f t="shared" si="15"/>
        <v>1</v>
      </c>
      <c r="K1101" s="41"/>
    </row>
    <row r="1102" spans="10:11" hidden="1" x14ac:dyDescent="0.25">
      <c r="J1102" s="42">
        <f t="shared" si="15"/>
        <v>1</v>
      </c>
      <c r="K1102" s="41"/>
    </row>
    <row r="1103" spans="10:11" hidden="1" x14ac:dyDescent="0.25">
      <c r="J1103" s="42">
        <f t="shared" si="15"/>
        <v>1</v>
      </c>
      <c r="K1103" s="41"/>
    </row>
    <row r="1104" spans="10:11" hidden="1" x14ac:dyDescent="0.25">
      <c r="J1104" s="42">
        <f t="shared" si="15"/>
        <v>1</v>
      </c>
      <c r="K1104" s="41"/>
    </row>
    <row r="1105" spans="10:11" hidden="1" x14ac:dyDescent="0.25">
      <c r="J1105" s="42">
        <f t="shared" si="15"/>
        <v>1</v>
      </c>
      <c r="K1105" s="41"/>
    </row>
    <row r="1106" spans="10:11" hidden="1" x14ac:dyDescent="0.25">
      <c r="J1106" s="42">
        <f t="shared" si="15"/>
        <v>1</v>
      </c>
      <c r="K1106" s="41"/>
    </row>
    <row r="1107" spans="10:11" hidden="1" x14ac:dyDescent="0.25">
      <c r="J1107" s="42">
        <f t="shared" si="15"/>
        <v>1</v>
      </c>
      <c r="K1107" s="41"/>
    </row>
    <row r="1108" spans="10:11" hidden="1" x14ac:dyDescent="0.25">
      <c r="J1108" s="42">
        <f t="shared" si="15"/>
        <v>1</v>
      </c>
      <c r="K1108" s="41"/>
    </row>
    <row r="1109" spans="10:11" hidden="1" x14ac:dyDescent="0.25">
      <c r="J1109" s="42">
        <f t="shared" si="15"/>
        <v>1</v>
      </c>
      <c r="K1109" s="41"/>
    </row>
    <row r="1110" spans="10:11" hidden="1" x14ac:dyDescent="0.25">
      <c r="J1110" s="42">
        <f t="shared" si="15"/>
        <v>1</v>
      </c>
      <c r="K1110" s="41"/>
    </row>
    <row r="1111" spans="10:11" hidden="1" x14ac:dyDescent="0.25">
      <c r="J1111" s="42">
        <f t="shared" si="15"/>
        <v>1</v>
      </c>
      <c r="K1111" s="41"/>
    </row>
    <row r="1112" spans="10:11" hidden="1" x14ac:dyDescent="0.25">
      <c r="J1112" s="42">
        <f t="shared" si="15"/>
        <v>1</v>
      </c>
      <c r="K1112" s="41"/>
    </row>
    <row r="1113" spans="10:11" hidden="1" x14ac:dyDescent="0.25">
      <c r="J1113" s="42">
        <f t="shared" si="15"/>
        <v>1</v>
      </c>
      <c r="K1113" s="41"/>
    </row>
    <row r="1114" spans="10:11" hidden="1" x14ac:dyDescent="0.25">
      <c r="J1114" s="42">
        <f t="shared" si="15"/>
        <v>1</v>
      </c>
      <c r="K1114" s="41"/>
    </row>
    <row r="1115" spans="10:11" hidden="1" x14ac:dyDescent="0.25">
      <c r="J1115" s="42">
        <f t="shared" si="15"/>
        <v>1</v>
      </c>
      <c r="K1115" s="41"/>
    </row>
    <row r="1116" spans="10:11" hidden="1" x14ac:dyDescent="0.25">
      <c r="J1116" s="42">
        <f t="shared" si="15"/>
        <v>1</v>
      </c>
      <c r="K1116" s="41"/>
    </row>
    <row r="1117" spans="10:11" hidden="1" x14ac:dyDescent="0.25">
      <c r="J1117" s="42">
        <f t="shared" si="15"/>
        <v>1</v>
      </c>
      <c r="K1117" s="41"/>
    </row>
    <row r="1118" spans="10:11" hidden="1" x14ac:dyDescent="0.25">
      <c r="J1118" s="42">
        <f t="shared" si="15"/>
        <v>1</v>
      </c>
      <c r="K1118" s="41"/>
    </row>
    <row r="1119" spans="10:11" hidden="1" x14ac:dyDescent="0.25">
      <c r="J1119" s="42">
        <f t="shared" si="15"/>
        <v>1</v>
      </c>
      <c r="K1119" s="41"/>
    </row>
    <row r="1120" spans="10:11" hidden="1" x14ac:dyDescent="0.25">
      <c r="J1120" s="42">
        <f t="shared" si="15"/>
        <v>1</v>
      </c>
      <c r="K1120" s="41"/>
    </row>
    <row r="1121" spans="10:11" hidden="1" x14ac:dyDescent="0.25">
      <c r="J1121" s="42">
        <f t="shared" si="15"/>
        <v>1</v>
      </c>
      <c r="K1121" s="41"/>
    </row>
    <row r="1122" spans="10:11" hidden="1" x14ac:dyDescent="0.25">
      <c r="J1122" s="42">
        <f t="shared" si="15"/>
        <v>1</v>
      </c>
      <c r="K1122" s="41"/>
    </row>
    <row r="1123" spans="10:11" hidden="1" x14ac:dyDescent="0.25">
      <c r="J1123" s="42">
        <f t="shared" si="15"/>
        <v>1</v>
      </c>
      <c r="K1123" s="41"/>
    </row>
    <row r="1124" spans="10:11" hidden="1" x14ac:dyDescent="0.25">
      <c r="J1124" s="42">
        <f t="shared" si="15"/>
        <v>1</v>
      </c>
      <c r="K1124" s="41"/>
    </row>
    <row r="1125" spans="10:11" hidden="1" x14ac:dyDescent="0.25">
      <c r="J1125" s="42">
        <f t="shared" si="15"/>
        <v>1</v>
      </c>
      <c r="K1125" s="41"/>
    </row>
    <row r="1126" spans="10:11" hidden="1" x14ac:dyDescent="0.25">
      <c r="J1126" s="42">
        <f t="shared" si="15"/>
        <v>1</v>
      </c>
      <c r="K1126" s="41"/>
    </row>
    <row r="1127" spans="10:11" hidden="1" x14ac:dyDescent="0.25">
      <c r="J1127" s="42">
        <f t="shared" si="15"/>
        <v>1</v>
      </c>
      <c r="K1127" s="41"/>
    </row>
    <row r="1128" spans="10:11" hidden="1" x14ac:dyDescent="0.25">
      <c r="J1128" s="42">
        <f t="shared" si="15"/>
        <v>1</v>
      </c>
      <c r="K1128" s="41"/>
    </row>
    <row r="1129" spans="10:11" hidden="1" x14ac:dyDescent="0.25">
      <c r="J1129" s="42">
        <f t="shared" si="15"/>
        <v>1</v>
      </c>
      <c r="K1129" s="41"/>
    </row>
    <row r="1130" spans="10:11" hidden="1" x14ac:dyDescent="0.25">
      <c r="J1130" s="42">
        <f t="shared" si="15"/>
        <v>1</v>
      </c>
      <c r="K1130" s="41"/>
    </row>
    <row r="1131" spans="10:11" hidden="1" x14ac:dyDescent="0.25">
      <c r="J1131" s="42">
        <f t="shared" si="15"/>
        <v>1</v>
      </c>
      <c r="K1131" s="41"/>
    </row>
    <row r="1132" spans="10:11" hidden="1" x14ac:dyDescent="0.25">
      <c r="J1132" s="42">
        <f t="shared" si="15"/>
        <v>1</v>
      </c>
      <c r="K1132" s="41"/>
    </row>
    <row r="1133" spans="10:11" hidden="1" x14ac:dyDescent="0.25">
      <c r="J1133" s="42">
        <f t="shared" si="15"/>
        <v>1</v>
      </c>
      <c r="K1133" s="41"/>
    </row>
    <row r="1134" spans="10:11" hidden="1" x14ac:dyDescent="0.25">
      <c r="J1134" s="42">
        <f t="shared" si="15"/>
        <v>1</v>
      </c>
      <c r="K1134" s="41"/>
    </row>
    <row r="1135" spans="10:11" hidden="1" x14ac:dyDescent="0.25">
      <c r="J1135" s="42">
        <f t="shared" si="15"/>
        <v>1</v>
      </c>
      <c r="K1135" s="41"/>
    </row>
    <row r="1136" spans="10:11" hidden="1" x14ac:dyDescent="0.25">
      <c r="J1136" s="42">
        <f t="shared" si="15"/>
        <v>1</v>
      </c>
      <c r="K1136" s="41"/>
    </row>
    <row r="1137" spans="10:11" hidden="1" x14ac:dyDescent="0.25">
      <c r="J1137" s="42">
        <f t="shared" si="15"/>
        <v>1</v>
      </c>
      <c r="K1137" s="41"/>
    </row>
    <row r="1138" spans="10:11" hidden="1" x14ac:dyDescent="0.25">
      <c r="J1138" s="42">
        <f t="shared" si="15"/>
        <v>1</v>
      </c>
      <c r="K1138" s="41"/>
    </row>
    <row r="1139" spans="10:11" hidden="1" x14ac:dyDescent="0.25">
      <c r="J1139" s="42">
        <f t="shared" si="15"/>
        <v>1</v>
      </c>
      <c r="K1139" s="41"/>
    </row>
    <row r="1140" spans="10:11" hidden="1" x14ac:dyDescent="0.25">
      <c r="J1140" s="42">
        <f t="shared" si="15"/>
        <v>1</v>
      </c>
      <c r="K1140" s="41"/>
    </row>
    <row r="1141" spans="10:11" hidden="1" x14ac:dyDescent="0.25">
      <c r="J1141" s="42">
        <f t="shared" si="15"/>
        <v>1</v>
      </c>
      <c r="K1141" s="41"/>
    </row>
    <row r="1142" spans="10:11" hidden="1" x14ac:dyDescent="0.25">
      <c r="J1142" s="42">
        <f t="shared" ref="J1142:J1205" si="16">MONTH(A1142)</f>
        <v>1</v>
      </c>
      <c r="K1142" s="41"/>
    </row>
    <row r="1143" spans="10:11" hidden="1" x14ac:dyDescent="0.25">
      <c r="J1143" s="42">
        <f t="shared" si="16"/>
        <v>1</v>
      </c>
      <c r="K1143" s="41"/>
    </row>
    <row r="1144" spans="10:11" hidden="1" x14ac:dyDescent="0.25">
      <c r="J1144" s="42">
        <f t="shared" si="16"/>
        <v>1</v>
      </c>
      <c r="K1144" s="41"/>
    </row>
    <row r="1145" spans="10:11" hidden="1" x14ac:dyDescent="0.25">
      <c r="J1145" s="42">
        <f t="shared" si="16"/>
        <v>1</v>
      </c>
      <c r="K1145" s="41"/>
    </row>
    <row r="1146" spans="10:11" hidden="1" x14ac:dyDescent="0.25">
      <c r="J1146" s="42">
        <f t="shared" si="16"/>
        <v>1</v>
      </c>
      <c r="K1146" s="41"/>
    </row>
    <row r="1147" spans="10:11" hidden="1" x14ac:dyDescent="0.25">
      <c r="J1147" s="42">
        <f t="shared" si="16"/>
        <v>1</v>
      </c>
      <c r="K1147" s="41"/>
    </row>
    <row r="1148" spans="10:11" hidden="1" x14ac:dyDescent="0.25">
      <c r="J1148" s="42">
        <f t="shared" si="16"/>
        <v>1</v>
      </c>
      <c r="K1148" s="41"/>
    </row>
    <row r="1149" spans="10:11" hidden="1" x14ac:dyDescent="0.25">
      <c r="J1149" s="42">
        <f t="shared" si="16"/>
        <v>1</v>
      </c>
      <c r="K1149" s="41"/>
    </row>
    <row r="1150" spans="10:11" hidden="1" x14ac:dyDescent="0.25">
      <c r="J1150" s="42">
        <f t="shared" si="16"/>
        <v>1</v>
      </c>
      <c r="K1150" s="41"/>
    </row>
    <row r="1151" spans="10:11" hidden="1" x14ac:dyDescent="0.25">
      <c r="J1151" s="42">
        <f t="shared" si="16"/>
        <v>1</v>
      </c>
      <c r="K1151" s="41"/>
    </row>
    <row r="1152" spans="10:11" hidden="1" x14ac:dyDescent="0.25">
      <c r="J1152" s="42">
        <f t="shared" si="16"/>
        <v>1</v>
      </c>
      <c r="K1152" s="41"/>
    </row>
    <row r="1153" spans="10:11" hidden="1" x14ac:dyDescent="0.25">
      <c r="J1153" s="42">
        <f t="shared" si="16"/>
        <v>1</v>
      </c>
      <c r="K1153" s="41"/>
    </row>
    <row r="1154" spans="10:11" hidden="1" x14ac:dyDescent="0.25">
      <c r="J1154" s="42">
        <f t="shared" si="16"/>
        <v>1</v>
      </c>
      <c r="K1154" s="41"/>
    </row>
    <row r="1155" spans="10:11" hidden="1" x14ac:dyDescent="0.25">
      <c r="J1155" s="42">
        <f t="shared" si="16"/>
        <v>1</v>
      </c>
      <c r="K1155" s="41"/>
    </row>
    <row r="1156" spans="10:11" hidden="1" x14ac:dyDescent="0.25">
      <c r="J1156" s="42">
        <f t="shared" si="16"/>
        <v>1</v>
      </c>
      <c r="K1156" s="41"/>
    </row>
    <row r="1157" spans="10:11" hidden="1" x14ac:dyDescent="0.25">
      <c r="J1157" s="42">
        <f t="shared" si="16"/>
        <v>1</v>
      </c>
      <c r="K1157" s="41"/>
    </row>
    <row r="1158" spans="10:11" hidden="1" x14ac:dyDescent="0.25">
      <c r="J1158" s="42">
        <f t="shared" si="16"/>
        <v>1</v>
      </c>
      <c r="K1158" s="41"/>
    </row>
    <row r="1159" spans="10:11" hidden="1" x14ac:dyDescent="0.25">
      <c r="J1159" s="42">
        <f t="shared" si="16"/>
        <v>1</v>
      </c>
      <c r="K1159" s="41"/>
    </row>
    <row r="1160" spans="10:11" hidden="1" x14ac:dyDescent="0.25">
      <c r="J1160" s="42">
        <f t="shared" si="16"/>
        <v>1</v>
      </c>
      <c r="K1160" s="41"/>
    </row>
    <row r="1161" spans="10:11" hidden="1" x14ac:dyDescent="0.25">
      <c r="J1161" s="42">
        <f t="shared" si="16"/>
        <v>1</v>
      </c>
      <c r="K1161" s="41"/>
    </row>
    <row r="1162" spans="10:11" hidden="1" x14ac:dyDescent="0.25">
      <c r="J1162" s="42">
        <f t="shared" si="16"/>
        <v>1</v>
      </c>
      <c r="K1162" s="41"/>
    </row>
    <row r="1163" spans="10:11" hidden="1" x14ac:dyDescent="0.25">
      <c r="J1163" s="42">
        <f t="shared" si="16"/>
        <v>1</v>
      </c>
      <c r="K1163" s="41"/>
    </row>
    <row r="1164" spans="10:11" hidden="1" x14ac:dyDescent="0.25">
      <c r="J1164" s="42">
        <f t="shared" si="16"/>
        <v>1</v>
      </c>
      <c r="K1164" s="41"/>
    </row>
    <row r="1165" spans="10:11" hidden="1" x14ac:dyDescent="0.25">
      <c r="J1165" s="42">
        <f t="shared" si="16"/>
        <v>1</v>
      </c>
      <c r="K1165" s="41"/>
    </row>
    <row r="1166" spans="10:11" hidden="1" x14ac:dyDescent="0.25">
      <c r="J1166" s="42">
        <f t="shared" si="16"/>
        <v>1</v>
      </c>
      <c r="K1166" s="41"/>
    </row>
    <row r="1167" spans="10:11" hidden="1" x14ac:dyDescent="0.25">
      <c r="J1167" s="42">
        <f t="shared" si="16"/>
        <v>1</v>
      </c>
      <c r="K1167" s="41"/>
    </row>
    <row r="1168" spans="10:11" hidden="1" x14ac:dyDescent="0.25">
      <c r="J1168" s="42">
        <f t="shared" si="16"/>
        <v>1</v>
      </c>
      <c r="K1168" s="41"/>
    </row>
    <row r="1169" spans="10:11" hidden="1" x14ac:dyDescent="0.25">
      <c r="J1169" s="42">
        <f t="shared" si="16"/>
        <v>1</v>
      </c>
      <c r="K1169" s="41"/>
    </row>
    <row r="1170" spans="10:11" hidden="1" x14ac:dyDescent="0.25">
      <c r="J1170" s="42">
        <f t="shared" si="16"/>
        <v>1</v>
      </c>
      <c r="K1170" s="41"/>
    </row>
    <row r="1171" spans="10:11" hidden="1" x14ac:dyDescent="0.25">
      <c r="J1171" s="42">
        <f t="shared" si="16"/>
        <v>1</v>
      </c>
      <c r="K1171" s="41"/>
    </row>
    <row r="1172" spans="10:11" hidden="1" x14ac:dyDescent="0.25">
      <c r="J1172" s="42">
        <f t="shared" si="16"/>
        <v>1</v>
      </c>
      <c r="K1172" s="41"/>
    </row>
    <row r="1173" spans="10:11" hidden="1" x14ac:dyDescent="0.25">
      <c r="J1173" s="42">
        <f t="shared" si="16"/>
        <v>1</v>
      </c>
      <c r="K1173" s="41"/>
    </row>
    <row r="1174" spans="10:11" hidden="1" x14ac:dyDescent="0.25">
      <c r="J1174" s="42">
        <f t="shared" si="16"/>
        <v>1</v>
      </c>
      <c r="K1174" s="41"/>
    </row>
    <row r="1175" spans="10:11" hidden="1" x14ac:dyDescent="0.25">
      <c r="J1175" s="42">
        <f t="shared" si="16"/>
        <v>1</v>
      </c>
      <c r="K1175" s="41"/>
    </row>
    <row r="1176" spans="10:11" hidden="1" x14ac:dyDescent="0.25">
      <c r="J1176" s="42">
        <f t="shared" si="16"/>
        <v>1</v>
      </c>
      <c r="K1176" s="41"/>
    </row>
    <row r="1177" spans="10:11" hidden="1" x14ac:dyDescent="0.25">
      <c r="J1177" s="42">
        <f t="shared" si="16"/>
        <v>1</v>
      </c>
      <c r="K1177" s="41"/>
    </row>
    <row r="1178" spans="10:11" hidden="1" x14ac:dyDescent="0.25">
      <c r="J1178" s="42">
        <f t="shared" si="16"/>
        <v>1</v>
      </c>
      <c r="K1178" s="41"/>
    </row>
    <row r="1179" spans="10:11" hidden="1" x14ac:dyDescent="0.25">
      <c r="J1179" s="42">
        <f t="shared" si="16"/>
        <v>1</v>
      </c>
      <c r="K1179" s="41"/>
    </row>
    <row r="1180" spans="10:11" hidden="1" x14ac:dyDescent="0.25">
      <c r="J1180" s="42">
        <f t="shared" si="16"/>
        <v>1</v>
      </c>
      <c r="K1180" s="41"/>
    </row>
    <row r="1181" spans="10:11" hidden="1" x14ac:dyDescent="0.25">
      <c r="J1181" s="42">
        <f t="shared" si="16"/>
        <v>1</v>
      </c>
      <c r="K1181" s="41"/>
    </row>
    <row r="1182" spans="10:11" hidden="1" x14ac:dyDescent="0.25">
      <c r="J1182" s="42">
        <f t="shared" si="16"/>
        <v>1</v>
      </c>
      <c r="K1182" s="41"/>
    </row>
    <row r="1183" spans="10:11" hidden="1" x14ac:dyDescent="0.25">
      <c r="J1183" s="42">
        <f t="shared" si="16"/>
        <v>1</v>
      </c>
      <c r="K1183" s="41"/>
    </row>
    <row r="1184" spans="10:11" hidden="1" x14ac:dyDescent="0.25">
      <c r="J1184" s="42">
        <f t="shared" si="16"/>
        <v>1</v>
      </c>
      <c r="K1184" s="41"/>
    </row>
    <row r="1185" spans="10:11" hidden="1" x14ac:dyDescent="0.25">
      <c r="J1185" s="42">
        <f t="shared" si="16"/>
        <v>1</v>
      </c>
      <c r="K1185" s="41"/>
    </row>
    <row r="1186" spans="10:11" hidden="1" x14ac:dyDescent="0.25">
      <c r="J1186" s="42">
        <f t="shared" si="16"/>
        <v>1</v>
      </c>
      <c r="K1186" s="41"/>
    </row>
    <row r="1187" spans="10:11" hidden="1" x14ac:dyDescent="0.25">
      <c r="J1187" s="42">
        <f t="shared" si="16"/>
        <v>1</v>
      </c>
      <c r="K1187" s="41"/>
    </row>
    <row r="1188" spans="10:11" hidden="1" x14ac:dyDescent="0.25">
      <c r="J1188" s="42">
        <f t="shared" si="16"/>
        <v>1</v>
      </c>
      <c r="K1188" s="41"/>
    </row>
    <row r="1189" spans="10:11" hidden="1" x14ac:dyDescent="0.25">
      <c r="J1189" s="42">
        <f t="shared" si="16"/>
        <v>1</v>
      </c>
      <c r="K1189" s="41"/>
    </row>
    <row r="1190" spans="10:11" hidden="1" x14ac:dyDescent="0.25">
      <c r="J1190" s="42">
        <f t="shared" si="16"/>
        <v>1</v>
      </c>
      <c r="K1190" s="41"/>
    </row>
    <row r="1191" spans="10:11" hidden="1" x14ac:dyDescent="0.25">
      <c r="J1191" s="42">
        <f t="shared" si="16"/>
        <v>1</v>
      </c>
      <c r="K1191" s="41"/>
    </row>
    <row r="1192" spans="10:11" hidden="1" x14ac:dyDescent="0.25">
      <c r="J1192" s="42">
        <f t="shared" si="16"/>
        <v>1</v>
      </c>
      <c r="K1192" s="41"/>
    </row>
    <row r="1193" spans="10:11" hidden="1" x14ac:dyDescent="0.25">
      <c r="J1193" s="42">
        <f t="shared" si="16"/>
        <v>1</v>
      </c>
      <c r="K1193" s="41"/>
    </row>
    <row r="1194" spans="10:11" hidden="1" x14ac:dyDescent="0.25">
      <c r="J1194" s="42">
        <f t="shared" si="16"/>
        <v>1</v>
      </c>
      <c r="K1194" s="41"/>
    </row>
    <row r="1195" spans="10:11" hidden="1" x14ac:dyDescent="0.25">
      <c r="J1195" s="42">
        <f t="shared" si="16"/>
        <v>1</v>
      </c>
      <c r="K1195" s="41"/>
    </row>
    <row r="1196" spans="10:11" hidden="1" x14ac:dyDescent="0.25">
      <c r="J1196" s="42">
        <f t="shared" si="16"/>
        <v>1</v>
      </c>
      <c r="K1196" s="41"/>
    </row>
    <row r="1197" spans="10:11" hidden="1" x14ac:dyDescent="0.25">
      <c r="J1197" s="42">
        <f t="shared" si="16"/>
        <v>1</v>
      </c>
      <c r="K1197" s="41"/>
    </row>
    <row r="1198" spans="10:11" hidden="1" x14ac:dyDescent="0.25">
      <c r="J1198" s="42">
        <f t="shared" si="16"/>
        <v>1</v>
      </c>
      <c r="K1198" s="41"/>
    </row>
    <row r="1199" spans="10:11" hidden="1" x14ac:dyDescent="0.25">
      <c r="J1199" s="42">
        <f t="shared" si="16"/>
        <v>1</v>
      </c>
      <c r="K1199" s="41"/>
    </row>
    <row r="1200" spans="10:11" hidden="1" x14ac:dyDescent="0.25">
      <c r="J1200" s="42">
        <f t="shared" si="16"/>
        <v>1</v>
      </c>
      <c r="K1200" s="41"/>
    </row>
    <row r="1201" spans="10:11" hidden="1" x14ac:dyDescent="0.25">
      <c r="J1201" s="42">
        <f t="shared" si="16"/>
        <v>1</v>
      </c>
      <c r="K1201" s="41"/>
    </row>
    <row r="1202" spans="10:11" hidden="1" x14ac:dyDescent="0.25">
      <c r="J1202" s="42">
        <f t="shared" si="16"/>
        <v>1</v>
      </c>
      <c r="K1202" s="41"/>
    </row>
    <row r="1203" spans="10:11" hidden="1" x14ac:dyDescent="0.25">
      <c r="J1203" s="42">
        <f t="shared" si="16"/>
        <v>1</v>
      </c>
      <c r="K1203" s="41"/>
    </row>
    <row r="1204" spans="10:11" hidden="1" x14ac:dyDescent="0.25">
      <c r="J1204" s="42">
        <f t="shared" si="16"/>
        <v>1</v>
      </c>
      <c r="K1204" s="41"/>
    </row>
    <row r="1205" spans="10:11" hidden="1" x14ac:dyDescent="0.25">
      <c r="J1205" s="42">
        <f t="shared" si="16"/>
        <v>1</v>
      </c>
      <c r="K1205" s="41"/>
    </row>
    <row r="1206" spans="10:11" hidden="1" x14ac:dyDescent="0.25">
      <c r="J1206" s="42">
        <f t="shared" ref="J1206:J1237" si="17">MONTH(A1206)</f>
        <v>1</v>
      </c>
      <c r="K1206" s="41"/>
    </row>
    <row r="1207" spans="10:11" hidden="1" x14ac:dyDescent="0.25">
      <c r="J1207" s="42">
        <f t="shared" si="17"/>
        <v>1</v>
      </c>
      <c r="K1207" s="41"/>
    </row>
    <row r="1208" spans="10:11" hidden="1" x14ac:dyDescent="0.25">
      <c r="J1208" s="42">
        <f t="shared" si="17"/>
        <v>1</v>
      </c>
      <c r="K1208" s="41"/>
    </row>
    <row r="1209" spans="10:11" hidden="1" x14ac:dyDescent="0.25">
      <c r="J1209" s="42">
        <f t="shared" si="17"/>
        <v>1</v>
      </c>
      <c r="K1209" s="41"/>
    </row>
    <row r="1210" spans="10:11" hidden="1" x14ac:dyDescent="0.25">
      <c r="J1210" s="42">
        <f t="shared" si="17"/>
        <v>1</v>
      </c>
      <c r="K1210" s="41"/>
    </row>
    <row r="1211" spans="10:11" hidden="1" x14ac:dyDescent="0.25">
      <c r="J1211" s="42">
        <f t="shared" si="17"/>
        <v>1</v>
      </c>
      <c r="K1211" s="41"/>
    </row>
    <row r="1212" spans="10:11" hidden="1" x14ac:dyDescent="0.25">
      <c r="J1212" s="42">
        <f t="shared" si="17"/>
        <v>1</v>
      </c>
      <c r="K1212" s="41"/>
    </row>
    <row r="1213" spans="10:11" hidden="1" x14ac:dyDescent="0.25">
      <c r="J1213" s="42">
        <f t="shared" si="17"/>
        <v>1</v>
      </c>
      <c r="K1213" s="41"/>
    </row>
    <row r="1214" spans="10:11" hidden="1" x14ac:dyDescent="0.25">
      <c r="J1214" s="42">
        <f t="shared" si="17"/>
        <v>1</v>
      </c>
      <c r="K1214" s="41"/>
    </row>
    <row r="1215" spans="10:11" hidden="1" x14ac:dyDescent="0.25">
      <c r="J1215" s="42">
        <f t="shared" si="17"/>
        <v>1</v>
      </c>
      <c r="K1215" s="41"/>
    </row>
    <row r="1216" spans="10:11" hidden="1" x14ac:dyDescent="0.25">
      <c r="J1216" s="42">
        <f t="shared" si="17"/>
        <v>1</v>
      </c>
      <c r="K1216" s="41"/>
    </row>
    <row r="1217" spans="3:11" hidden="1" x14ac:dyDescent="0.25">
      <c r="J1217" s="42">
        <f t="shared" si="17"/>
        <v>1</v>
      </c>
      <c r="K1217" s="41"/>
    </row>
    <row r="1218" spans="3:11" hidden="1" x14ac:dyDescent="0.25">
      <c r="J1218" s="42">
        <f t="shared" si="17"/>
        <v>1</v>
      </c>
      <c r="K1218" s="41"/>
    </row>
    <row r="1219" spans="3:11" hidden="1" x14ac:dyDescent="0.25">
      <c r="J1219" s="42">
        <f t="shared" si="17"/>
        <v>1</v>
      </c>
      <c r="K1219" s="41"/>
    </row>
    <row r="1220" spans="3:11" hidden="1" x14ac:dyDescent="0.25">
      <c r="J1220" s="42">
        <f t="shared" si="17"/>
        <v>1</v>
      </c>
      <c r="K1220" s="41"/>
    </row>
    <row r="1221" spans="3:11" hidden="1" x14ac:dyDescent="0.25">
      <c r="J1221" s="42">
        <f t="shared" si="17"/>
        <v>1</v>
      </c>
      <c r="K1221" s="41"/>
    </row>
    <row r="1222" spans="3:11" hidden="1" x14ac:dyDescent="0.25">
      <c r="J1222" s="42">
        <f t="shared" si="17"/>
        <v>1</v>
      </c>
      <c r="K1222" s="41"/>
    </row>
    <row r="1223" spans="3:11" hidden="1" x14ac:dyDescent="0.25">
      <c r="J1223" s="42">
        <f t="shared" si="17"/>
        <v>1</v>
      </c>
      <c r="K1223" s="41"/>
    </row>
    <row r="1224" spans="3:11" hidden="1" x14ac:dyDescent="0.25">
      <c r="J1224" s="42">
        <f t="shared" si="17"/>
        <v>1</v>
      </c>
      <c r="K1224" s="41"/>
    </row>
    <row r="1225" spans="3:11" hidden="1" x14ac:dyDescent="0.25">
      <c r="J1225" s="42">
        <f t="shared" si="17"/>
        <v>1</v>
      </c>
      <c r="K1225" s="41"/>
    </row>
    <row r="1226" spans="3:11" hidden="1" x14ac:dyDescent="0.25">
      <c r="J1226" s="42">
        <f t="shared" si="17"/>
        <v>1</v>
      </c>
      <c r="K1226" s="41"/>
    </row>
    <row r="1227" spans="3:11" hidden="1" x14ac:dyDescent="0.25">
      <c r="J1227" s="42">
        <f t="shared" si="17"/>
        <v>1</v>
      </c>
      <c r="K1227" s="41"/>
    </row>
    <row r="1228" spans="3:11" hidden="1" x14ac:dyDescent="0.25">
      <c r="C1228" t="str">
        <f>IFERROR(VLOOKUP(D1228,'CODIGOS ACTIVOS'!A:E,2,0), "NUEVO")</f>
        <v>NUEVO</v>
      </c>
      <c r="J1228" s="42">
        <f t="shared" si="17"/>
        <v>1</v>
      </c>
      <c r="K1228" s="41"/>
    </row>
    <row r="1229" spans="3:11" hidden="1" x14ac:dyDescent="0.25">
      <c r="C1229" t="str">
        <f>IFERROR(VLOOKUP(D1229,'CODIGOS ACTIVOS'!A:E,2,0), "NUEVO")</f>
        <v>NUEVO</v>
      </c>
      <c r="J1229" s="42">
        <f t="shared" si="17"/>
        <v>1</v>
      </c>
      <c r="K1229" s="41"/>
    </row>
    <row r="1230" spans="3:11" hidden="1" x14ac:dyDescent="0.25">
      <c r="C1230" t="str">
        <f>IFERROR(VLOOKUP(D1230,'CODIGOS ACTIVOS'!A:E,2,0), "NUEVO")</f>
        <v>NUEVO</v>
      </c>
      <c r="J1230" s="42">
        <f t="shared" si="17"/>
        <v>1</v>
      </c>
      <c r="K1230" s="41"/>
    </row>
    <row r="1231" spans="3:11" hidden="1" x14ac:dyDescent="0.25">
      <c r="C1231" t="str">
        <f>IFERROR(VLOOKUP(D1231,'CODIGOS ACTIVOS'!A:E,2,0), "NUEVO")</f>
        <v>NUEVO</v>
      </c>
      <c r="J1231" s="42">
        <f t="shared" si="17"/>
        <v>1</v>
      </c>
      <c r="K1231" s="41"/>
    </row>
    <row r="1232" spans="3:11" hidden="1" x14ac:dyDescent="0.25">
      <c r="C1232" t="str">
        <f>IFERROR(VLOOKUP(D1232,'CODIGOS ACTIVOS'!A:E,2,0), "NUEVO")</f>
        <v>NUEVO</v>
      </c>
      <c r="J1232" s="42">
        <f t="shared" si="17"/>
        <v>1</v>
      </c>
      <c r="K1232" s="41"/>
    </row>
    <row r="1233" spans="1:11" hidden="1" x14ac:dyDescent="0.25">
      <c r="C1233" t="str">
        <f>IFERROR(VLOOKUP(D1233,'CODIGOS ACTIVOS'!A:E,2,0), "NUEVO")</f>
        <v>NUEVO</v>
      </c>
      <c r="J1233" s="42">
        <f t="shared" si="17"/>
        <v>1</v>
      </c>
      <c r="K1233" s="41"/>
    </row>
    <row r="1234" spans="1:11" hidden="1" x14ac:dyDescent="0.25">
      <c r="C1234" t="str">
        <f>IFERROR(VLOOKUP(D1234,'CODIGOS ACTIVOS'!A:E,2,0), "NUEVO")</f>
        <v>NUEVO</v>
      </c>
      <c r="J1234" s="42">
        <f t="shared" si="17"/>
        <v>1</v>
      </c>
      <c r="K1234" s="41"/>
    </row>
    <row r="1235" spans="1:11" hidden="1" x14ac:dyDescent="0.25">
      <c r="C1235" t="str">
        <f>IFERROR(VLOOKUP(D1235,'CODIGOS ACTIVOS'!A:E,2,0), "NUEVO")</f>
        <v>NUEVO</v>
      </c>
      <c r="J1235" s="42">
        <f t="shared" si="17"/>
        <v>1</v>
      </c>
      <c r="K1235" s="41"/>
    </row>
    <row r="1236" spans="1:11" hidden="1" x14ac:dyDescent="0.25">
      <c r="C1236" t="str">
        <f>IFERROR(VLOOKUP(D1236,'CODIGOS ACTIVOS'!A:E,2,0), "NUEVO")</f>
        <v>NUEVO</v>
      </c>
      <c r="J1236" s="42">
        <f t="shared" si="17"/>
        <v>1</v>
      </c>
      <c r="K1236" s="41"/>
    </row>
    <row r="1237" spans="1:11" hidden="1" x14ac:dyDescent="0.25">
      <c r="C1237" t="str">
        <f>IFERROR(VLOOKUP(D1237,'CODIGOS ACTIVOS'!A:E,2,0), "NUEVO")</f>
        <v>NUEVO</v>
      </c>
      <c r="J1237" s="42">
        <f t="shared" si="17"/>
        <v>1</v>
      </c>
      <c r="K1237" s="41"/>
    </row>
    <row r="1238" spans="1:11" x14ac:dyDescent="0.25">
      <c r="A1238" s="58">
        <v>46213</v>
      </c>
      <c r="B1238" s="59"/>
      <c r="C1238" s="59"/>
      <c r="D1238" s="60" t="s">
        <v>222</v>
      </c>
      <c r="E1238" s="61">
        <v>3</v>
      </c>
      <c r="F1238" s="61"/>
      <c r="G1238" s="58"/>
      <c r="H1238" s="62">
        <v>0</v>
      </c>
      <c r="I1238" s="60" t="s">
        <v>1670</v>
      </c>
      <c r="K1238" s="41"/>
    </row>
  </sheetData>
  <autoFilter ref="A1:L1238" xr:uid="{2CB48F22-500A-4526-B64B-B406649ACD84}">
    <filterColumn colId="3">
      <filters>
        <filter val="Bateria de respaldo Ventilador Carefusion VELA comprehensive"/>
        <filter val="Bateria Desfibrilador Ninhon Kodhen TEC-5631"/>
        <filter val="Bateria desfibrilador TEC-56 Nihon koden"/>
        <filter val="Bateria incubadora drager"/>
        <filter val="Bateria Maquina de Anestesia AESPIRE 7100"/>
        <filter val="Bateria Monitor Signis Vitales Infinity Draguer"/>
        <filter val="Bateria Monitor Signos Vitales CardioCap"/>
        <filter val="Bateria Monitor Signos Vitales Infinity Draguer"/>
        <filter val="Bateria Monitor Signos Vitales Mindray IMEC10"/>
        <filter val="Bateria Monitor Signos Vitales Mindray Mec1200"/>
        <filter val="Bateria Monitor Umec 10"/>
        <filter val="Bateria para maquina de antessia Datex Ohmeda"/>
        <filter val="Bateria para monitor de signos de antessia Datex Ohmeda"/>
      </filters>
    </filterColumn>
  </autoFilter>
  <phoneticPr fontId="1" type="noConversion"/>
  <conditionalFormatting sqref="C384">
    <cfRule type="duplicateValues" dxfId="42" priority="47" stopIfTrue="1"/>
  </conditionalFormatting>
  <conditionalFormatting sqref="C385:C387">
    <cfRule type="duplicateValues" dxfId="41" priority="46" stopIfTrue="1"/>
  </conditionalFormatting>
  <conditionalFormatting sqref="C388">
    <cfRule type="duplicateValues" dxfId="40" priority="45" stopIfTrue="1"/>
  </conditionalFormatting>
  <conditionalFormatting sqref="C389">
    <cfRule type="duplicateValues" dxfId="39" priority="44" stopIfTrue="1"/>
  </conditionalFormatting>
  <conditionalFormatting sqref="C390">
    <cfRule type="duplicateValues" dxfId="38" priority="43" stopIfTrue="1"/>
  </conditionalFormatting>
  <conditionalFormatting sqref="C391">
    <cfRule type="duplicateValues" dxfId="37" priority="42" stopIfTrue="1"/>
  </conditionalFormatting>
  <conditionalFormatting sqref="C392">
    <cfRule type="duplicateValues" dxfId="36" priority="49" stopIfTrue="1"/>
  </conditionalFormatting>
  <conditionalFormatting sqref="C393">
    <cfRule type="duplicateValues" dxfId="35" priority="41" stopIfTrue="1"/>
  </conditionalFormatting>
  <conditionalFormatting sqref="C394 C397">
    <cfRule type="duplicateValues" dxfId="34" priority="40" stopIfTrue="1"/>
  </conditionalFormatting>
  <conditionalFormatting sqref="C395">
    <cfRule type="duplicateValues" dxfId="33" priority="39" stopIfTrue="1"/>
  </conditionalFormatting>
  <conditionalFormatting sqref="C396">
    <cfRule type="duplicateValues" dxfId="32" priority="38" stopIfTrue="1"/>
  </conditionalFormatting>
  <conditionalFormatting sqref="C398">
    <cfRule type="duplicateValues" dxfId="31" priority="37" stopIfTrue="1"/>
  </conditionalFormatting>
  <conditionalFormatting sqref="C399:C403">
    <cfRule type="duplicateValues" dxfId="30" priority="50" stopIfTrue="1"/>
  </conditionalFormatting>
  <conditionalFormatting sqref="C404">
    <cfRule type="duplicateValues" dxfId="29" priority="24" stopIfTrue="1"/>
  </conditionalFormatting>
  <conditionalFormatting sqref="C405:C406">
    <cfRule type="duplicateValues" dxfId="28" priority="28" stopIfTrue="1"/>
  </conditionalFormatting>
  <conditionalFormatting sqref="C407">
    <cfRule type="duplicateValues" dxfId="27" priority="23" stopIfTrue="1"/>
  </conditionalFormatting>
  <conditionalFormatting sqref="C408">
    <cfRule type="duplicateValues" dxfId="26" priority="26" stopIfTrue="1"/>
  </conditionalFormatting>
  <conditionalFormatting sqref="C409">
    <cfRule type="duplicateValues" dxfId="25" priority="22" stopIfTrue="1"/>
  </conditionalFormatting>
  <conditionalFormatting sqref="C410 C413">
    <cfRule type="duplicateValues" dxfId="24" priority="21" stopIfTrue="1"/>
  </conditionalFormatting>
  <conditionalFormatting sqref="C411">
    <cfRule type="duplicateValues" dxfId="23" priority="20" stopIfTrue="1"/>
  </conditionalFormatting>
  <conditionalFormatting sqref="C412">
    <cfRule type="duplicateValues" dxfId="22" priority="19" stopIfTrue="1"/>
  </conditionalFormatting>
  <conditionalFormatting sqref="C414">
    <cfRule type="duplicateValues" dxfId="21" priority="18" stopIfTrue="1"/>
  </conditionalFormatting>
  <conditionalFormatting sqref="C415:C416">
    <cfRule type="duplicateValues" dxfId="20" priority="27" stopIfTrue="1"/>
  </conditionalFormatting>
  <conditionalFormatting sqref="C417">
    <cfRule type="duplicateValues" dxfId="19" priority="17" stopIfTrue="1"/>
  </conditionalFormatting>
  <conditionalFormatting sqref="C418">
    <cfRule type="duplicateValues" dxfId="18" priority="12" stopIfTrue="1"/>
  </conditionalFormatting>
  <conditionalFormatting sqref="C419:C420">
    <cfRule type="duplicateValues" dxfId="17" priority="16" stopIfTrue="1"/>
  </conditionalFormatting>
  <conditionalFormatting sqref="C421">
    <cfRule type="duplicateValues" dxfId="16" priority="14" stopIfTrue="1"/>
  </conditionalFormatting>
  <conditionalFormatting sqref="C422">
    <cfRule type="duplicateValues" dxfId="15" priority="11" stopIfTrue="1"/>
  </conditionalFormatting>
  <conditionalFormatting sqref="C423 C426">
    <cfRule type="duplicateValues" dxfId="14" priority="10" stopIfTrue="1"/>
  </conditionalFormatting>
  <conditionalFormatting sqref="C424">
    <cfRule type="duplicateValues" dxfId="13" priority="9" stopIfTrue="1"/>
  </conditionalFormatting>
  <conditionalFormatting sqref="C425">
    <cfRule type="duplicateValues" dxfId="12" priority="8" stopIfTrue="1"/>
  </conditionalFormatting>
  <conditionalFormatting sqref="C427">
    <cfRule type="duplicateValues" dxfId="11" priority="7" stopIfTrue="1"/>
  </conditionalFormatting>
  <conditionalFormatting sqref="C428:C429">
    <cfRule type="duplicateValues" dxfId="10" priority="15" stopIfTrue="1"/>
  </conditionalFormatting>
  <conditionalFormatting sqref="C430 C432:C433">
    <cfRule type="duplicateValues" dxfId="9" priority="6" stopIfTrue="1"/>
  </conditionalFormatting>
  <conditionalFormatting sqref="C431">
    <cfRule type="duplicateValues" dxfId="8" priority="5"/>
  </conditionalFormatting>
  <conditionalFormatting sqref="C434:C435">
    <cfRule type="duplicateValues" dxfId="7" priority="1" stopIfTrue="1"/>
  </conditionalFormatting>
  <conditionalFormatting sqref="D431">
    <cfRule type="duplicateValues" dxfId="6" priority="4"/>
  </conditionalFormatting>
  <conditionalFormatting sqref="D432">
    <cfRule type="duplicateValues" dxfId="5" priority="3"/>
  </conditionalFormatting>
  <conditionalFormatting sqref="D433">
    <cfRule type="duplicateValues" dxfId="4" priority="2"/>
  </conditionalFormatting>
  <conditionalFormatting sqref="H375 H381">
    <cfRule type="cellIs" dxfId="3" priority="29" operator="lessThan">
      <formula>0</formula>
    </cfRule>
  </conditionalFormatting>
  <conditionalFormatting sqref="H384:H435">
    <cfRule type="cellIs" dxfId="2" priority="13" operator="lessThan">
      <formula>0</formula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B22E8F-94C3-494A-BC4B-0E1D84384E47}">
          <x14:formula1>
            <xm:f>'CODIGOS ACTIVOS'!$A:$A</xm:f>
          </x14:formula1>
          <xm:sqref>D347:D355 D235:D244 D246:D253 D256 D261:D262 D267:D272 D276:D285 D288:D289 D291:D292 D295:D296 D302:D305 D309:D311 D426:D1230 D314:D316 D318:D324 D327 D329 D332:D334 D1255:D1048576 D1245:D1253 D336:D337 D220:D233 D214:D218 D339:D345 D357:D364 D366:D395 D397:D411 D413:D424 D1239:D1241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8CD4-8E01-4567-B017-24D2F4C1CB2C}">
  <sheetPr filterMode="1"/>
  <dimension ref="A1:D652"/>
  <sheetViews>
    <sheetView workbookViewId="0">
      <pane ySplit="1" topLeftCell="A48" activePane="bottomLeft" state="frozen"/>
      <selection pane="bottomLeft" activeCell="C659" sqref="C659"/>
    </sheetView>
  </sheetViews>
  <sheetFormatPr baseColWidth="10" defaultColWidth="11.42578125" defaultRowHeight="13.5" x14ac:dyDescent="0.25"/>
  <cols>
    <col min="1" max="1" width="65.85546875" style="20" bestFit="1" customWidth="1"/>
    <col min="2" max="2" width="18.5703125" style="21" bestFit="1" customWidth="1"/>
    <col min="3" max="3" width="15.85546875" style="20" bestFit="1" customWidth="1"/>
    <col min="4" max="4" width="14.28515625" style="20" bestFit="1" customWidth="1"/>
    <col min="5" max="16384" width="11.42578125" style="20"/>
  </cols>
  <sheetData>
    <row r="1" spans="1:4" x14ac:dyDescent="0.25">
      <c r="A1" s="25" t="s">
        <v>3</v>
      </c>
      <c r="B1" s="25" t="s">
        <v>2</v>
      </c>
      <c r="C1" s="24" t="s">
        <v>379</v>
      </c>
      <c r="D1" s="23" t="s">
        <v>380</v>
      </c>
    </row>
    <row r="2" spans="1:4" hidden="1" x14ac:dyDescent="0.25">
      <c r="A2" s="22" t="s">
        <v>381</v>
      </c>
      <c r="B2" s="27" t="s">
        <v>382</v>
      </c>
      <c r="C2" s="22"/>
      <c r="D2" s="22"/>
    </row>
    <row r="3" spans="1:4" hidden="1" x14ac:dyDescent="0.25">
      <c r="A3" s="22" t="s">
        <v>383</v>
      </c>
      <c r="B3" s="27" t="s">
        <v>384</v>
      </c>
      <c r="C3" s="22"/>
      <c r="D3" s="22"/>
    </row>
    <row r="4" spans="1:4" hidden="1" x14ac:dyDescent="0.25">
      <c r="A4" s="22" t="s">
        <v>385</v>
      </c>
      <c r="B4" s="27" t="s">
        <v>386</v>
      </c>
      <c r="C4" s="22"/>
      <c r="D4" s="22"/>
    </row>
    <row r="5" spans="1:4" hidden="1" x14ac:dyDescent="0.25">
      <c r="A5" s="22" t="s">
        <v>387</v>
      </c>
      <c r="B5" s="27" t="s">
        <v>388</v>
      </c>
      <c r="C5" s="22"/>
      <c r="D5" s="22"/>
    </row>
    <row r="6" spans="1:4" hidden="1" x14ac:dyDescent="0.25">
      <c r="A6" s="22" t="s">
        <v>389</v>
      </c>
      <c r="B6" s="27" t="s">
        <v>390</v>
      </c>
      <c r="C6" s="22"/>
      <c r="D6" s="22"/>
    </row>
    <row r="7" spans="1:4" hidden="1" x14ac:dyDescent="0.25">
      <c r="A7" s="22" t="s">
        <v>391</v>
      </c>
      <c r="B7" s="27" t="s">
        <v>392</v>
      </c>
      <c r="C7" s="22"/>
      <c r="D7" s="22"/>
    </row>
    <row r="8" spans="1:4" hidden="1" x14ac:dyDescent="0.25">
      <c r="A8" s="22" t="s">
        <v>393</v>
      </c>
      <c r="B8" s="27" t="s">
        <v>394</v>
      </c>
      <c r="C8" s="22"/>
      <c r="D8" s="22"/>
    </row>
    <row r="9" spans="1:4" hidden="1" x14ac:dyDescent="0.25">
      <c r="A9" s="22" t="s">
        <v>395</v>
      </c>
      <c r="B9" s="27" t="s">
        <v>396</v>
      </c>
      <c r="C9" s="22"/>
      <c r="D9" s="22"/>
    </row>
    <row r="10" spans="1:4" hidden="1" x14ac:dyDescent="0.25">
      <c r="A10" s="22" t="s">
        <v>397</v>
      </c>
      <c r="B10" s="27" t="s">
        <v>398</v>
      </c>
      <c r="C10" s="22"/>
      <c r="D10" s="22"/>
    </row>
    <row r="11" spans="1:4" hidden="1" x14ac:dyDescent="0.25">
      <c r="A11" s="22" t="s">
        <v>399</v>
      </c>
      <c r="B11" s="27" t="s">
        <v>400</v>
      </c>
      <c r="C11" s="22"/>
      <c r="D11" s="22"/>
    </row>
    <row r="12" spans="1:4" hidden="1" x14ac:dyDescent="0.25">
      <c r="A12" s="22" t="s">
        <v>401</v>
      </c>
      <c r="B12" s="27" t="s">
        <v>402</v>
      </c>
      <c r="C12" s="22"/>
      <c r="D12" s="22"/>
    </row>
    <row r="13" spans="1:4" hidden="1" x14ac:dyDescent="0.25">
      <c r="A13" s="22" t="s">
        <v>403</v>
      </c>
      <c r="B13" s="27" t="s">
        <v>404</v>
      </c>
      <c r="C13" s="22"/>
      <c r="D13" s="22"/>
    </row>
    <row r="14" spans="1:4" hidden="1" x14ac:dyDescent="0.25">
      <c r="A14" s="22" t="s">
        <v>405</v>
      </c>
      <c r="B14" s="27" t="s">
        <v>406</v>
      </c>
      <c r="C14" s="22"/>
      <c r="D14" s="22"/>
    </row>
    <row r="15" spans="1:4" hidden="1" x14ac:dyDescent="0.25">
      <c r="A15" s="22" t="s">
        <v>407</v>
      </c>
      <c r="B15" s="27" t="s">
        <v>408</v>
      </c>
      <c r="C15" s="22"/>
      <c r="D15" s="22"/>
    </row>
    <row r="16" spans="1:4" hidden="1" x14ac:dyDescent="0.25">
      <c r="A16" s="22" t="s">
        <v>409</v>
      </c>
      <c r="B16" s="27" t="s">
        <v>410</v>
      </c>
      <c r="C16" s="22"/>
      <c r="D16" s="22"/>
    </row>
    <row r="17" spans="1:4" hidden="1" x14ac:dyDescent="0.25">
      <c r="A17" s="22" t="s">
        <v>411</v>
      </c>
      <c r="B17" s="27" t="s">
        <v>412</v>
      </c>
      <c r="C17" s="22"/>
      <c r="D17" s="22"/>
    </row>
    <row r="18" spans="1:4" hidden="1" x14ac:dyDescent="0.25">
      <c r="A18" s="22" t="s">
        <v>413</v>
      </c>
      <c r="B18" s="27" t="s">
        <v>414</v>
      </c>
      <c r="C18" s="22"/>
      <c r="D18" s="22"/>
    </row>
    <row r="19" spans="1:4" hidden="1" x14ac:dyDescent="0.25">
      <c r="A19" s="22" t="s">
        <v>415</v>
      </c>
      <c r="B19" s="27" t="s">
        <v>416</v>
      </c>
      <c r="C19" s="22"/>
      <c r="D19" s="22"/>
    </row>
    <row r="20" spans="1:4" hidden="1" x14ac:dyDescent="0.25">
      <c r="A20" s="22" t="s">
        <v>417</v>
      </c>
      <c r="B20" s="27" t="s">
        <v>418</v>
      </c>
      <c r="C20" s="22"/>
      <c r="D20" s="22"/>
    </row>
    <row r="21" spans="1:4" hidden="1" x14ac:dyDescent="0.25">
      <c r="A21" s="22" t="s">
        <v>419</v>
      </c>
      <c r="B21" s="27" t="s">
        <v>420</v>
      </c>
      <c r="C21" s="22"/>
      <c r="D21" s="22"/>
    </row>
    <row r="22" spans="1:4" hidden="1" x14ac:dyDescent="0.25">
      <c r="A22" s="22" t="s">
        <v>421</v>
      </c>
      <c r="B22" s="27" t="s">
        <v>422</v>
      </c>
      <c r="C22" s="22"/>
      <c r="D22" s="22"/>
    </row>
    <row r="23" spans="1:4" hidden="1" x14ac:dyDescent="0.25">
      <c r="A23" s="22" t="s">
        <v>423</v>
      </c>
      <c r="B23" s="27" t="s">
        <v>424</v>
      </c>
      <c r="C23" s="22"/>
      <c r="D23" s="22"/>
    </row>
    <row r="24" spans="1:4" hidden="1" x14ac:dyDescent="0.25">
      <c r="A24" s="22" t="s">
        <v>425</v>
      </c>
      <c r="B24" s="27" t="s">
        <v>426</v>
      </c>
      <c r="C24" s="22"/>
      <c r="D24" s="22"/>
    </row>
    <row r="25" spans="1:4" hidden="1" x14ac:dyDescent="0.25">
      <c r="A25" s="22" t="s">
        <v>427</v>
      </c>
      <c r="B25" s="27" t="s">
        <v>428</v>
      </c>
      <c r="C25" s="22"/>
      <c r="D25" s="22"/>
    </row>
    <row r="26" spans="1:4" hidden="1" x14ac:dyDescent="0.25">
      <c r="A26" s="22" t="s">
        <v>429</v>
      </c>
      <c r="B26" s="27" t="s">
        <v>430</v>
      </c>
      <c r="C26" s="22"/>
      <c r="D26" s="22"/>
    </row>
    <row r="27" spans="1:4" hidden="1" x14ac:dyDescent="0.25">
      <c r="A27" s="22" t="s">
        <v>431</v>
      </c>
      <c r="B27" s="27" t="s">
        <v>432</v>
      </c>
      <c r="C27" s="22"/>
      <c r="D27" s="22"/>
    </row>
    <row r="28" spans="1:4" hidden="1" x14ac:dyDescent="0.25">
      <c r="A28" s="22" t="s">
        <v>433</v>
      </c>
      <c r="B28" s="27" t="s">
        <v>434</v>
      </c>
      <c r="C28" s="22"/>
      <c r="D28" s="22"/>
    </row>
    <row r="29" spans="1:4" hidden="1" x14ac:dyDescent="0.25">
      <c r="A29" s="2" t="s">
        <v>435</v>
      </c>
      <c r="B29" s="3" t="s">
        <v>436</v>
      </c>
      <c r="C29" s="22"/>
      <c r="D29" s="22"/>
    </row>
    <row r="30" spans="1:4" hidden="1" x14ac:dyDescent="0.25">
      <c r="A30" s="22" t="s">
        <v>437</v>
      </c>
      <c r="B30" s="27" t="s">
        <v>438</v>
      </c>
      <c r="C30" s="22"/>
      <c r="D30" s="22"/>
    </row>
    <row r="31" spans="1:4" hidden="1" x14ac:dyDescent="0.25">
      <c r="A31" s="22" t="s">
        <v>439</v>
      </c>
      <c r="B31" s="27" t="s">
        <v>440</v>
      </c>
      <c r="C31" s="22"/>
      <c r="D31" s="22"/>
    </row>
    <row r="32" spans="1:4" hidden="1" x14ac:dyDescent="0.25">
      <c r="A32" s="22" t="s">
        <v>441</v>
      </c>
      <c r="B32" s="27" t="s">
        <v>442</v>
      </c>
      <c r="C32" s="22"/>
      <c r="D32" s="22"/>
    </row>
    <row r="33" spans="1:4" hidden="1" x14ac:dyDescent="0.25">
      <c r="A33" s="22" t="s">
        <v>443</v>
      </c>
      <c r="B33" s="27" t="s">
        <v>444</v>
      </c>
      <c r="C33" s="22"/>
      <c r="D33" s="22"/>
    </row>
    <row r="34" spans="1:4" hidden="1" x14ac:dyDescent="0.25">
      <c r="A34" s="22" t="s">
        <v>445</v>
      </c>
      <c r="B34" s="27" t="s">
        <v>446</v>
      </c>
      <c r="C34" s="22"/>
      <c r="D34" s="22"/>
    </row>
    <row r="35" spans="1:4" hidden="1" x14ac:dyDescent="0.25">
      <c r="A35" s="22" t="s">
        <v>447</v>
      </c>
      <c r="B35" s="27" t="s">
        <v>448</v>
      </c>
      <c r="C35" s="22"/>
      <c r="D35" s="22"/>
    </row>
    <row r="36" spans="1:4" hidden="1" x14ac:dyDescent="0.25">
      <c r="A36" s="22" t="s">
        <v>449</v>
      </c>
      <c r="B36" s="27" t="s">
        <v>450</v>
      </c>
      <c r="C36" s="22"/>
      <c r="D36" s="22"/>
    </row>
    <row r="37" spans="1:4" hidden="1" x14ac:dyDescent="0.25">
      <c r="A37" s="22" t="s">
        <v>451</v>
      </c>
      <c r="B37" s="27" t="s">
        <v>452</v>
      </c>
      <c r="C37" s="22"/>
      <c r="D37" s="22"/>
    </row>
    <row r="38" spans="1:4" hidden="1" x14ac:dyDescent="0.25">
      <c r="A38" s="22" t="s">
        <v>453</v>
      </c>
      <c r="B38" s="27" t="s">
        <v>454</v>
      </c>
      <c r="C38" s="22"/>
      <c r="D38" s="22"/>
    </row>
    <row r="39" spans="1:4" hidden="1" x14ac:dyDescent="0.25">
      <c r="A39" s="22" t="s">
        <v>455</v>
      </c>
      <c r="B39" s="27" t="s">
        <v>456</v>
      </c>
      <c r="C39" s="22"/>
      <c r="D39" s="22"/>
    </row>
    <row r="40" spans="1:4" hidden="1" x14ac:dyDescent="0.25">
      <c r="A40" s="22" t="s">
        <v>457</v>
      </c>
      <c r="B40" s="27" t="s">
        <v>458</v>
      </c>
      <c r="C40" s="22"/>
      <c r="D40" s="22"/>
    </row>
    <row r="41" spans="1:4" hidden="1" x14ac:dyDescent="0.25">
      <c r="A41" s="22" t="s">
        <v>459</v>
      </c>
      <c r="B41" s="27" t="s">
        <v>460</v>
      </c>
      <c r="C41" s="22"/>
      <c r="D41" s="22"/>
    </row>
    <row r="42" spans="1:4" hidden="1" x14ac:dyDescent="0.25">
      <c r="A42" s="22" t="s">
        <v>461</v>
      </c>
      <c r="B42" s="27" t="s">
        <v>462</v>
      </c>
      <c r="C42" s="22"/>
      <c r="D42" s="22"/>
    </row>
    <row r="43" spans="1:4" hidden="1" x14ac:dyDescent="0.25">
      <c r="A43" s="22" t="s">
        <v>463</v>
      </c>
      <c r="B43" s="27" t="s">
        <v>464</v>
      </c>
      <c r="C43" s="22"/>
      <c r="D43" s="22"/>
    </row>
    <row r="44" spans="1:4" hidden="1" x14ac:dyDescent="0.25">
      <c r="A44" s="22" t="s">
        <v>465</v>
      </c>
      <c r="B44" s="27" t="s">
        <v>466</v>
      </c>
      <c r="C44" s="22"/>
      <c r="D44" s="22"/>
    </row>
    <row r="45" spans="1:4" hidden="1" x14ac:dyDescent="0.25">
      <c r="A45" s="22" t="s">
        <v>467</v>
      </c>
      <c r="B45" s="27" t="s">
        <v>468</v>
      </c>
      <c r="C45" s="22"/>
      <c r="D45" s="22"/>
    </row>
    <row r="46" spans="1:4" hidden="1" x14ac:dyDescent="0.25">
      <c r="A46" s="22" t="s">
        <v>469</v>
      </c>
      <c r="B46" s="27" t="s">
        <v>470</v>
      </c>
      <c r="C46" s="22"/>
      <c r="D46" s="22"/>
    </row>
    <row r="47" spans="1:4" hidden="1" x14ac:dyDescent="0.25">
      <c r="A47" s="22" t="s">
        <v>471</v>
      </c>
      <c r="B47" s="27" t="s">
        <v>472</v>
      </c>
      <c r="C47" s="22"/>
      <c r="D47" s="22"/>
    </row>
    <row r="48" spans="1:4" hidden="1" x14ac:dyDescent="0.25">
      <c r="A48" s="22" t="s">
        <v>473</v>
      </c>
      <c r="B48" s="27" t="s">
        <v>474</v>
      </c>
      <c r="C48" s="22"/>
      <c r="D48" s="22"/>
    </row>
    <row r="49" spans="1:4" hidden="1" x14ac:dyDescent="0.25">
      <c r="A49" s="22" t="s">
        <v>475</v>
      </c>
      <c r="B49" s="27" t="s">
        <v>476</v>
      </c>
      <c r="C49" s="22"/>
      <c r="D49" s="22"/>
    </row>
    <row r="50" spans="1:4" hidden="1" x14ac:dyDescent="0.25">
      <c r="A50" s="2" t="s">
        <v>154</v>
      </c>
      <c r="B50" s="3" t="s">
        <v>33</v>
      </c>
      <c r="C50" s="22"/>
      <c r="D50" s="22"/>
    </row>
    <row r="51" spans="1:4" hidden="1" x14ac:dyDescent="0.25">
      <c r="A51" s="2" t="s">
        <v>157</v>
      </c>
      <c r="B51" s="3" t="s">
        <v>156</v>
      </c>
      <c r="C51" s="22"/>
      <c r="D51" s="22"/>
    </row>
    <row r="52" spans="1:4" hidden="1" x14ac:dyDescent="0.25">
      <c r="A52" s="2" t="s">
        <v>44</v>
      </c>
      <c r="B52" s="3" t="s">
        <v>43</v>
      </c>
      <c r="C52" s="22"/>
      <c r="D52" s="22"/>
    </row>
    <row r="53" spans="1:4" hidden="1" x14ac:dyDescent="0.25">
      <c r="A53" s="2" t="s">
        <v>477</v>
      </c>
      <c r="B53" s="3"/>
      <c r="C53" s="22"/>
      <c r="D53" s="22"/>
    </row>
    <row r="54" spans="1:4" hidden="1" x14ac:dyDescent="0.25">
      <c r="A54" s="2" t="s">
        <v>212</v>
      </c>
      <c r="B54" s="3" t="s">
        <v>14</v>
      </c>
      <c r="C54" s="22"/>
      <c r="D54" s="22"/>
    </row>
    <row r="55" spans="1:4" hidden="1" x14ac:dyDescent="0.25">
      <c r="A55" s="22" t="s">
        <v>478</v>
      </c>
      <c r="B55" s="27" t="s">
        <v>479</v>
      </c>
      <c r="C55" s="22"/>
      <c r="D55" s="22"/>
    </row>
    <row r="56" spans="1:4" hidden="1" x14ac:dyDescent="0.25">
      <c r="A56" s="22" t="s">
        <v>480</v>
      </c>
      <c r="B56" s="27" t="s">
        <v>481</v>
      </c>
      <c r="C56" s="22"/>
      <c r="D56" s="22"/>
    </row>
    <row r="57" spans="1:4" hidden="1" x14ac:dyDescent="0.25">
      <c r="A57" s="22" t="s">
        <v>482</v>
      </c>
      <c r="B57" s="27" t="s">
        <v>483</v>
      </c>
      <c r="C57" s="22"/>
      <c r="D57" s="22"/>
    </row>
    <row r="58" spans="1:4" hidden="1" x14ac:dyDescent="0.25">
      <c r="A58" s="22" t="s">
        <v>484</v>
      </c>
      <c r="B58" s="27" t="s">
        <v>485</v>
      </c>
      <c r="C58" s="22"/>
      <c r="D58" s="22"/>
    </row>
    <row r="59" spans="1:4" hidden="1" x14ac:dyDescent="0.25">
      <c r="A59" s="22" t="s">
        <v>486</v>
      </c>
      <c r="B59" s="27" t="s">
        <v>487</v>
      </c>
      <c r="C59" s="22"/>
      <c r="D59" s="22"/>
    </row>
    <row r="60" spans="1:4" hidden="1" x14ac:dyDescent="0.25">
      <c r="A60" s="22" t="s">
        <v>488</v>
      </c>
      <c r="B60" s="27" t="s">
        <v>489</v>
      </c>
      <c r="C60" s="22"/>
      <c r="D60" s="22"/>
    </row>
    <row r="61" spans="1:4" hidden="1" x14ac:dyDescent="0.25">
      <c r="A61" s="22" t="s">
        <v>490</v>
      </c>
      <c r="B61" s="27" t="s">
        <v>491</v>
      </c>
      <c r="C61" s="22"/>
      <c r="D61" s="22"/>
    </row>
    <row r="62" spans="1:4" hidden="1" x14ac:dyDescent="0.25">
      <c r="A62" s="22" t="s">
        <v>492</v>
      </c>
      <c r="B62" s="27" t="s">
        <v>493</v>
      </c>
      <c r="C62" s="22"/>
      <c r="D62" s="22"/>
    </row>
    <row r="63" spans="1:4" hidden="1" x14ac:dyDescent="0.25">
      <c r="A63" s="22" t="s">
        <v>494</v>
      </c>
      <c r="B63" s="27" t="s">
        <v>495</v>
      </c>
      <c r="C63" s="22"/>
      <c r="D63" s="22"/>
    </row>
    <row r="64" spans="1:4" hidden="1" x14ac:dyDescent="0.25">
      <c r="A64" s="22" t="s">
        <v>496</v>
      </c>
      <c r="B64" s="27" t="s">
        <v>497</v>
      </c>
      <c r="C64" s="22"/>
      <c r="D64" s="22"/>
    </row>
    <row r="65" spans="1:4" hidden="1" x14ac:dyDescent="0.25">
      <c r="A65" s="22" t="s">
        <v>498</v>
      </c>
      <c r="B65" s="27" t="s">
        <v>499</v>
      </c>
      <c r="C65" s="22"/>
      <c r="D65" s="22"/>
    </row>
    <row r="66" spans="1:4" hidden="1" x14ac:dyDescent="0.25">
      <c r="A66" s="22" t="s">
        <v>500</v>
      </c>
      <c r="B66" s="27" t="s">
        <v>501</v>
      </c>
      <c r="C66" s="22"/>
      <c r="D66" s="22"/>
    </row>
    <row r="67" spans="1:4" hidden="1" x14ac:dyDescent="0.25">
      <c r="A67" s="22" t="s">
        <v>502</v>
      </c>
      <c r="B67" s="27" t="s">
        <v>503</v>
      </c>
      <c r="C67" s="22"/>
      <c r="D67" s="22"/>
    </row>
    <row r="68" spans="1:4" hidden="1" x14ac:dyDescent="0.25">
      <c r="A68" s="22" t="s">
        <v>504</v>
      </c>
      <c r="B68" s="27" t="s">
        <v>505</v>
      </c>
      <c r="C68" s="22"/>
      <c r="D68" s="22"/>
    </row>
    <row r="69" spans="1:4" hidden="1" x14ac:dyDescent="0.25">
      <c r="A69" s="22" t="s">
        <v>506</v>
      </c>
      <c r="B69" s="27" t="s">
        <v>507</v>
      </c>
      <c r="C69" s="22"/>
      <c r="D69" s="22"/>
    </row>
    <row r="70" spans="1:4" hidden="1" x14ac:dyDescent="0.25">
      <c r="A70" s="22" t="s">
        <v>508</v>
      </c>
      <c r="B70" s="27" t="s">
        <v>509</v>
      </c>
      <c r="C70" s="22"/>
      <c r="D70" s="22"/>
    </row>
    <row r="71" spans="1:4" hidden="1" x14ac:dyDescent="0.25">
      <c r="A71" s="22" t="s">
        <v>510</v>
      </c>
      <c r="B71" s="27" t="s">
        <v>511</v>
      </c>
      <c r="C71" s="22"/>
      <c r="D71" s="22"/>
    </row>
    <row r="72" spans="1:4" hidden="1" x14ac:dyDescent="0.25">
      <c r="A72" s="22" t="s">
        <v>512</v>
      </c>
      <c r="B72" s="27" t="s">
        <v>513</v>
      </c>
      <c r="C72" s="22"/>
      <c r="D72" s="22"/>
    </row>
    <row r="73" spans="1:4" hidden="1" x14ac:dyDescent="0.25">
      <c r="A73" s="22" t="s">
        <v>514</v>
      </c>
      <c r="B73" s="27" t="s">
        <v>515</v>
      </c>
      <c r="C73" s="22"/>
      <c r="D73" s="22"/>
    </row>
    <row r="74" spans="1:4" hidden="1" x14ac:dyDescent="0.25">
      <c r="A74" s="22" t="s">
        <v>516</v>
      </c>
      <c r="B74" s="27" t="s">
        <v>517</v>
      </c>
      <c r="C74" s="22"/>
      <c r="D74" s="22"/>
    </row>
    <row r="75" spans="1:4" hidden="1" x14ac:dyDescent="0.25">
      <c r="A75" s="22" t="s">
        <v>518</v>
      </c>
      <c r="B75" s="27" t="s">
        <v>519</v>
      </c>
      <c r="C75" s="22"/>
      <c r="D75" s="22"/>
    </row>
    <row r="76" spans="1:4" hidden="1" x14ac:dyDescent="0.25">
      <c r="A76" s="22" t="s">
        <v>520</v>
      </c>
      <c r="B76" s="27" t="s">
        <v>521</v>
      </c>
      <c r="C76" s="22"/>
      <c r="D76" s="22"/>
    </row>
    <row r="77" spans="1:4" hidden="1" x14ac:dyDescent="0.25">
      <c r="A77" s="22" t="s">
        <v>522</v>
      </c>
      <c r="B77" s="27" t="s">
        <v>523</v>
      </c>
      <c r="C77" s="22"/>
      <c r="D77" s="22"/>
    </row>
    <row r="78" spans="1:4" hidden="1" x14ac:dyDescent="0.25">
      <c r="A78" s="22" t="s">
        <v>524</v>
      </c>
      <c r="B78" s="27" t="s">
        <v>525</v>
      </c>
      <c r="C78" s="22"/>
      <c r="D78" s="22"/>
    </row>
    <row r="79" spans="1:4" hidden="1" x14ac:dyDescent="0.25">
      <c r="A79" s="22" t="s">
        <v>526</v>
      </c>
      <c r="B79" s="27" t="s">
        <v>527</v>
      </c>
      <c r="C79" s="22"/>
      <c r="D79" s="22"/>
    </row>
    <row r="80" spans="1:4" hidden="1" x14ac:dyDescent="0.25">
      <c r="A80" s="22" t="s">
        <v>528</v>
      </c>
      <c r="B80" s="27" t="s">
        <v>529</v>
      </c>
      <c r="C80" s="22"/>
      <c r="D80" s="22"/>
    </row>
    <row r="81" spans="1:4" hidden="1" x14ac:dyDescent="0.25">
      <c r="A81" s="22" t="s">
        <v>530</v>
      </c>
      <c r="B81" s="27" t="s">
        <v>531</v>
      </c>
      <c r="C81" s="22"/>
      <c r="D81" s="22"/>
    </row>
    <row r="82" spans="1:4" hidden="1" x14ac:dyDescent="0.25">
      <c r="A82" s="22" t="s">
        <v>532</v>
      </c>
      <c r="B82" s="27" t="s">
        <v>533</v>
      </c>
      <c r="C82" s="22"/>
      <c r="D82" s="22"/>
    </row>
    <row r="83" spans="1:4" hidden="1" x14ac:dyDescent="0.25">
      <c r="A83" s="22" t="s">
        <v>534</v>
      </c>
      <c r="B83" s="27" t="s">
        <v>535</v>
      </c>
      <c r="C83" s="22"/>
      <c r="D83" s="22"/>
    </row>
    <row r="84" spans="1:4" hidden="1" x14ac:dyDescent="0.25">
      <c r="A84" s="22" t="s">
        <v>536</v>
      </c>
      <c r="B84" s="27" t="s">
        <v>537</v>
      </c>
      <c r="C84" s="22"/>
      <c r="D84" s="22"/>
    </row>
    <row r="85" spans="1:4" hidden="1" x14ac:dyDescent="0.25">
      <c r="A85" s="2" t="s">
        <v>167</v>
      </c>
      <c r="B85" s="3" t="s">
        <v>166</v>
      </c>
      <c r="C85" s="22"/>
      <c r="D85" s="22"/>
    </row>
    <row r="86" spans="1:4" hidden="1" x14ac:dyDescent="0.25">
      <c r="A86" s="2" t="s">
        <v>162</v>
      </c>
      <c r="B86" s="3" t="s">
        <v>161</v>
      </c>
      <c r="C86" s="22"/>
      <c r="D86" s="22"/>
    </row>
    <row r="87" spans="1:4" hidden="1" x14ac:dyDescent="0.25">
      <c r="A87" s="2" t="s">
        <v>191</v>
      </c>
      <c r="B87" s="3"/>
      <c r="C87" s="22"/>
      <c r="D87" s="22"/>
    </row>
    <row r="88" spans="1:4" hidden="1" x14ac:dyDescent="0.25">
      <c r="A88" s="2" t="s">
        <v>193</v>
      </c>
      <c r="B88" s="3" t="s">
        <v>192</v>
      </c>
      <c r="C88" s="22"/>
      <c r="D88" s="22"/>
    </row>
    <row r="89" spans="1:4" hidden="1" x14ac:dyDescent="0.25">
      <c r="A89" s="2" t="s">
        <v>538</v>
      </c>
      <c r="B89" s="3" t="s">
        <v>539</v>
      </c>
      <c r="C89" s="22"/>
      <c r="D89" s="22"/>
    </row>
    <row r="90" spans="1:4" hidden="1" x14ac:dyDescent="0.25">
      <c r="A90" s="2" t="s">
        <v>540</v>
      </c>
      <c r="B90" s="3" t="s">
        <v>541</v>
      </c>
      <c r="C90" s="22"/>
      <c r="D90" s="22"/>
    </row>
    <row r="91" spans="1:4" hidden="1" x14ac:dyDescent="0.25">
      <c r="A91" s="2" t="s">
        <v>542</v>
      </c>
      <c r="B91" s="3" t="s">
        <v>543</v>
      </c>
      <c r="C91" s="22"/>
      <c r="D91" s="22"/>
    </row>
    <row r="92" spans="1:4" hidden="1" x14ac:dyDescent="0.25">
      <c r="A92" s="2" t="s">
        <v>22</v>
      </c>
      <c r="B92" s="3" t="s">
        <v>21</v>
      </c>
      <c r="C92" s="22"/>
      <c r="D92" s="22"/>
    </row>
    <row r="93" spans="1:4" hidden="1" x14ac:dyDescent="0.25">
      <c r="A93" s="2" t="s">
        <v>544</v>
      </c>
      <c r="B93" s="3" t="s">
        <v>545</v>
      </c>
      <c r="C93" s="22"/>
      <c r="D93" s="22"/>
    </row>
    <row r="94" spans="1:4" hidden="1" x14ac:dyDescent="0.25">
      <c r="A94" s="22" t="s">
        <v>546</v>
      </c>
      <c r="B94" s="27" t="s">
        <v>547</v>
      </c>
      <c r="C94" s="22"/>
      <c r="D94" s="22"/>
    </row>
    <row r="95" spans="1:4" hidden="1" x14ac:dyDescent="0.25">
      <c r="A95" s="22" t="s">
        <v>548</v>
      </c>
      <c r="B95" s="27" t="s">
        <v>549</v>
      </c>
      <c r="C95" s="22"/>
      <c r="D95" s="22"/>
    </row>
    <row r="96" spans="1:4" hidden="1" x14ac:dyDescent="0.25">
      <c r="A96" s="22" t="s">
        <v>255</v>
      </c>
      <c r="B96" s="27" t="s">
        <v>231</v>
      </c>
      <c r="C96" s="22"/>
      <c r="D96" s="22"/>
    </row>
    <row r="97" spans="1:4" hidden="1" x14ac:dyDescent="0.25">
      <c r="A97" s="2" t="s">
        <v>82</v>
      </c>
      <c r="B97" s="3" t="s">
        <v>81</v>
      </c>
      <c r="C97" s="22"/>
      <c r="D97" s="22"/>
    </row>
    <row r="98" spans="1:4" hidden="1" x14ac:dyDescent="0.25">
      <c r="A98" s="2" t="s">
        <v>550</v>
      </c>
      <c r="B98" s="3" t="s">
        <v>551</v>
      </c>
      <c r="C98" s="22"/>
      <c r="D98" s="22"/>
    </row>
    <row r="99" spans="1:4" hidden="1" x14ac:dyDescent="0.25">
      <c r="A99" s="22" t="s">
        <v>552</v>
      </c>
      <c r="B99" s="27" t="s">
        <v>553</v>
      </c>
      <c r="C99" s="22"/>
      <c r="D99" s="22"/>
    </row>
    <row r="100" spans="1:4" hidden="1" x14ac:dyDescent="0.25">
      <c r="A100" s="22" t="s">
        <v>554</v>
      </c>
      <c r="B100" s="27" t="s">
        <v>555</v>
      </c>
      <c r="C100" s="22"/>
      <c r="D100" s="22"/>
    </row>
    <row r="101" spans="1:4" hidden="1" x14ac:dyDescent="0.25">
      <c r="A101" s="2" t="s">
        <v>69</v>
      </c>
      <c r="B101" s="3" t="s">
        <v>68</v>
      </c>
      <c r="C101" s="22"/>
      <c r="D101" s="22"/>
    </row>
    <row r="102" spans="1:4" hidden="1" x14ac:dyDescent="0.25">
      <c r="A102" s="2" t="s">
        <v>183</v>
      </c>
      <c r="B102" s="29" t="s">
        <v>14</v>
      </c>
      <c r="C102" s="22"/>
      <c r="D102" s="22"/>
    </row>
    <row r="103" spans="1:4" hidden="1" x14ac:dyDescent="0.25">
      <c r="A103" s="2" t="s">
        <v>98</v>
      </c>
      <c r="B103" s="3" t="s">
        <v>97</v>
      </c>
      <c r="C103" s="22"/>
      <c r="D103" s="22"/>
    </row>
    <row r="104" spans="1:4" hidden="1" x14ac:dyDescent="0.25">
      <c r="A104" s="2" t="s">
        <v>186</v>
      </c>
      <c r="B104" s="3" t="s">
        <v>185</v>
      </c>
      <c r="C104" s="22"/>
      <c r="D104" s="22"/>
    </row>
    <row r="105" spans="1:4" hidden="1" x14ac:dyDescent="0.25">
      <c r="A105" s="2" t="s">
        <v>556</v>
      </c>
      <c r="B105" s="3" t="s">
        <v>557</v>
      </c>
      <c r="C105" s="22"/>
      <c r="D105" s="22"/>
    </row>
    <row r="106" spans="1:4" hidden="1" x14ac:dyDescent="0.25">
      <c r="A106" s="2" t="s">
        <v>558</v>
      </c>
      <c r="B106" s="3" t="s">
        <v>247</v>
      </c>
      <c r="C106" s="22"/>
      <c r="D106" s="22"/>
    </row>
    <row r="107" spans="1:4" hidden="1" x14ac:dyDescent="0.25">
      <c r="A107" s="2" t="s">
        <v>559</v>
      </c>
      <c r="B107" s="3" t="s">
        <v>549</v>
      </c>
      <c r="C107" s="22"/>
      <c r="D107" s="22"/>
    </row>
    <row r="108" spans="1:4" hidden="1" x14ac:dyDescent="0.25">
      <c r="A108" s="2" t="s">
        <v>560</v>
      </c>
      <c r="B108" s="3" t="s">
        <v>561</v>
      </c>
      <c r="C108" s="22"/>
      <c r="D108" s="22"/>
    </row>
    <row r="109" spans="1:4" hidden="1" x14ac:dyDescent="0.25">
      <c r="A109" s="2" t="s">
        <v>199</v>
      </c>
      <c r="B109" s="29" t="s">
        <v>14</v>
      </c>
      <c r="C109" s="22"/>
      <c r="D109" s="22"/>
    </row>
    <row r="110" spans="1:4" hidden="1" x14ac:dyDescent="0.25">
      <c r="A110" s="2" t="s">
        <v>61</v>
      </c>
      <c r="B110" s="3" t="s">
        <v>60</v>
      </c>
      <c r="C110" s="22"/>
      <c r="D110" s="22"/>
    </row>
    <row r="111" spans="1:4" hidden="1" x14ac:dyDescent="0.25">
      <c r="A111" s="2" t="s">
        <v>127</v>
      </c>
      <c r="B111" s="3" t="s">
        <v>126</v>
      </c>
      <c r="C111" s="22"/>
      <c r="D111" s="22"/>
    </row>
    <row r="112" spans="1:4" hidden="1" x14ac:dyDescent="0.25">
      <c r="A112" s="22" t="s">
        <v>562</v>
      </c>
      <c r="B112" s="27" t="s">
        <v>60</v>
      </c>
      <c r="C112" s="22"/>
      <c r="D112" s="22"/>
    </row>
    <row r="113" spans="1:4" hidden="1" x14ac:dyDescent="0.25">
      <c r="A113" s="22" t="s">
        <v>563</v>
      </c>
      <c r="B113" s="27" t="s">
        <v>564</v>
      </c>
      <c r="C113" s="22"/>
      <c r="D113" s="22"/>
    </row>
    <row r="114" spans="1:4" hidden="1" x14ac:dyDescent="0.25">
      <c r="A114" s="2" t="s">
        <v>19</v>
      </c>
      <c r="B114" s="3" t="s">
        <v>18</v>
      </c>
      <c r="C114" s="22">
        <v>3</v>
      </c>
      <c r="D114" s="22"/>
    </row>
    <row r="115" spans="1:4" hidden="1" x14ac:dyDescent="0.25">
      <c r="A115" s="22" t="s">
        <v>565</v>
      </c>
      <c r="B115" s="27" t="s">
        <v>566</v>
      </c>
      <c r="C115" s="22"/>
      <c r="D115" s="22"/>
    </row>
    <row r="116" spans="1:4" hidden="1" x14ac:dyDescent="0.25">
      <c r="A116" s="22" t="s">
        <v>567</v>
      </c>
      <c r="B116" s="27" t="s">
        <v>568</v>
      </c>
      <c r="C116" s="22"/>
      <c r="D116" s="22"/>
    </row>
    <row r="117" spans="1:4" hidden="1" x14ac:dyDescent="0.25">
      <c r="A117" s="2" t="s">
        <v>569</v>
      </c>
      <c r="B117" s="3" t="s">
        <v>570</v>
      </c>
      <c r="C117" s="22"/>
      <c r="D117" s="22"/>
    </row>
    <row r="118" spans="1:4" hidden="1" x14ac:dyDescent="0.25">
      <c r="A118" s="2" t="s">
        <v>571</v>
      </c>
      <c r="B118" s="3" t="s">
        <v>572</v>
      </c>
      <c r="C118" s="22"/>
      <c r="D118" s="22"/>
    </row>
    <row r="119" spans="1:4" hidden="1" x14ac:dyDescent="0.25">
      <c r="A119" s="22" t="s">
        <v>573</v>
      </c>
      <c r="B119" s="27" t="s">
        <v>574</v>
      </c>
      <c r="C119" s="22"/>
      <c r="D119" s="22"/>
    </row>
    <row r="120" spans="1:4" hidden="1" x14ac:dyDescent="0.25">
      <c r="A120" s="2" t="s">
        <v>54</v>
      </c>
      <c r="B120" s="3" t="s">
        <v>53</v>
      </c>
      <c r="C120" s="22">
        <v>7</v>
      </c>
      <c r="D120" s="22"/>
    </row>
    <row r="121" spans="1:4" hidden="1" x14ac:dyDescent="0.25">
      <c r="A121" s="22" t="s">
        <v>575</v>
      </c>
      <c r="B121" s="27" t="s">
        <v>232</v>
      </c>
      <c r="C121" s="22"/>
      <c r="D121" s="22"/>
    </row>
    <row r="122" spans="1:4" hidden="1" x14ac:dyDescent="0.25">
      <c r="A122" s="2" t="s">
        <v>311</v>
      </c>
      <c r="B122" s="7" t="s">
        <v>232</v>
      </c>
      <c r="C122" s="22">
        <v>4</v>
      </c>
      <c r="D122" s="22"/>
    </row>
    <row r="123" spans="1:4" hidden="1" x14ac:dyDescent="0.25">
      <c r="A123" s="2" t="s">
        <v>75</v>
      </c>
      <c r="B123" s="3" t="s">
        <v>74</v>
      </c>
      <c r="C123" s="22"/>
      <c r="D123" s="22"/>
    </row>
    <row r="124" spans="1:4" hidden="1" x14ac:dyDescent="0.25">
      <c r="A124" s="2" t="s">
        <v>576</v>
      </c>
      <c r="B124" s="3">
        <v>0</v>
      </c>
      <c r="C124" s="22">
        <v>1</v>
      </c>
      <c r="D124" s="22"/>
    </row>
    <row r="125" spans="1:4" hidden="1" x14ac:dyDescent="0.25">
      <c r="A125" s="2" t="s">
        <v>250</v>
      </c>
      <c r="B125" s="3" t="s">
        <v>249</v>
      </c>
      <c r="C125" s="22">
        <v>4</v>
      </c>
      <c r="D125" s="22"/>
    </row>
    <row r="126" spans="1:4" hidden="1" x14ac:dyDescent="0.25">
      <c r="A126" s="22" t="s">
        <v>577</v>
      </c>
      <c r="B126" s="27" t="s">
        <v>578</v>
      </c>
      <c r="C126" s="22"/>
      <c r="D126" s="22"/>
    </row>
    <row r="127" spans="1:4" hidden="1" x14ac:dyDescent="0.25">
      <c r="A127" s="2" t="s">
        <v>579</v>
      </c>
      <c r="B127" s="3" t="s">
        <v>580</v>
      </c>
      <c r="C127" s="22"/>
      <c r="D127" s="22"/>
    </row>
    <row r="128" spans="1:4" hidden="1" x14ac:dyDescent="0.25">
      <c r="A128" s="2" t="s">
        <v>581</v>
      </c>
      <c r="B128" s="3" t="s">
        <v>582</v>
      </c>
      <c r="C128" s="22"/>
      <c r="D128" s="22"/>
    </row>
    <row r="129" spans="1:4" hidden="1" x14ac:dyDescent="0.25">
      <c r="A129" s="2" t="s">
        <v>583</v>
      </c>
      <c r="B129" s="3" t="s">
        <v>584</v>
      </c>
      <c r="C129" s="22"/>
      <c r="D129" s="22"/>
    </row>
    <row r="130" spans="1:4" hidden="1" x14ac:dyDescent="0.25">
      <c r="A130" s="22" t="s">
        <v>585</v>
      </c>
      <c r="B130" s="27" t="s">
        <v>24</v>
      </c>
      <c r="C130" s="22"/>
      <c r="D130" s="22"/>
    </row>
    <row r="131" spans="1:4" hidden="1" x14ac:dyDescent="0.25">
      <c r="A131" s="22" t="s">
        <v>586</v>
      </c>
      <c r="B131" s="27" t="s">
        <v>587</v>
      </c>
      <c r="C131" s="22"/>
      <c r="D131" s="22"/>
    </row>
    <row r="132" spans="1:4" hidden="1" x14ac:dyDescent="0.25">
      <c r="A132" s="22" t="s">
        <v>588</v>
      </c>
      <c r="B132" s="27" t="s">
        <v>41</v>
      </c>
      <c r="C132" s="22"/>
      <c r="D132" s="22"/>
    </row>
    <row r="133" spans="1:4" hidden="1" x14ac:dyDescent="0.25">
      <c r="A133" s="22" t="s">
        <v>589</v>
      </c>
      <c r="B133" s="27" t="s">
        <v>590</v>
      </c>
      <c r="C133" s="22"/>
      <c r="D133" s="22"/>
    </row>
    <row r="134" spans="1:4" hidden="1" x14ac:dyDescent="0.25">
      <c r="A134" s="22" t="s">
        <v>591</v>
      </c>
      <c r="B134" s="27" t="s">
        <v>592</v>
      </c>
      <c r="C134" s="22"/>
      <c r="D134" s="22"/>
    </row>
    <row r="135" spans="1:4" hidden="1" x14ac:dyDescent="0.25">
      <c r="A135" s="22" t="s">
        <v>593</v>
      </c>
      <c r="B135" s="27" t="s">
        <v>594</v>
      </c>
      <c r="C135" s="22"/>
      <c r="D135" s="22"/>
    </row>
    <row r="136" spans="1:4" hidden="1" x14ac:dyDescent="0.25">
      <c r="A136" s="22" t="s">
        <v>595</v>
      </c>
      <c r="B136" s="27" t="s">
        <v>596</v>
      </c>
      <c r="C136" s="22"/>
      <c r="D136" s="22"/>
    </row>
    <row r="137" spans="1:4" hidden="1" x14ac:dyDescent="0.25">
      <c r="A137" s="22" t="s">
        <v>597</v>
      </c>
      <c r="B137" s="27" t="s">
        <v>598</v>
      </c>
      <c r="C137" s="22"/>
      <c r="D137" s="22"/>
    </row>
    <row r="138" spans="1:4" hidden="1" x14ac:dyDescent="0.25">
      <c r="A138" s="22" t="s">
        <v>599</v>
      </c>
      <c r="B138" s="27" t="s">
        <v>600</v>
      </c>
      <c r="C138" s="22"/>
      <c r="D138" s="22"/>
    </row>
    <row r="139" spans="1:4" hidden="1" x14ac:dyDescent="0.25">
      <c r="A139" s="22" t="s">
        <v>601</v>
      </c>
      <c r="B139" s="27" t="s">
        <v>602</v>
      </c>
      <c r="C139" s="22"/>
      <c r="D139" s="22"/>
    </row>
    <row r="140" spans="1:4" hidden="1" x14ac:dyDescent="0.25">
      <c r="A140" s="22" t="s">
        <v>603</v>
      </c>
      <c r="B140" s="27" t="s">
        <v>604</v>
      </c>
      <c r="C140" s="22"/>
      <c r="D140" s="22"/>
    </row>
    <row r="141" spans="1:4" hidden="1" x14ac:dyDescent="0.25">
      <c r="A141" s="22" t="s">
        <v>605</v>
      </c>
      <c r="B141" s="27" t="s">
        <v>606</v>
      </c>
      <c r="C141" s="22"/>
      <c r="D141" s="22"/>
    </row>
    <row r="142" spans="1:4" hidden="1" x14ac:dyDescent="0.25">
      <c r="A142" s="2" t="s">
        <v>607</v>
      </c>
      <c r="B142" s="3" t="s">
        <v>608</v>
      </c>
      <c r="C142" s="22"/>
      <c r="D142" s="22"/>
    </row>
    <row r="143" spans="1:4" hidden="1" x14ac:dyDescent="0.25">
      <c r="A143" s="22" t="s">
        <v>609</v>
      </c>
      <c r="B143" s="27" t="s">
        <v>610</v>
      </c>
      <c r="C143" s="22"/>
      <c r="D143" s="22"/>
    </row>
    <row r="144" spans="1:4" hidden="1" x14ac:dyDescent="0.25">
      <c r="A144" s="22" t="s">
        <v>611</v>
      </c>
      <c r="B144" s="27" t="s">
        <v>612</v>
      </c>
      <c r="C144" s="22"/>
      <c r="D144" s="22"/>
    </row>
    <row r="145" spans="1:4" hidden="1" x14ac:dyDescent="0.25">
      <c r="A145" s="22" t="s">
        <v>613</v>
      </c>
      <c r="B145" s="27" t="s">
        <v>614</v>
      </c>
      <c r="C145" s="22"/>
      <c r="D145" s="22"/>
    </row>
    <row r="146" spans="1:4" hidden="1" x14ac:dyDescent="0.25">
      <c r="A146" s="22" t="s">
        <v>615</v>
      </c>
      <c r="B146" s="27" t="s">
        <v>616</v>
      </c>
      <c r="C146" s="22"/>
      <c r="D146" s="22"/>
    </row>
    <row r="147" spans="1:4" hidden="1" x14ac:dyDescent="0.25">
      <c r="A147" s="22" t="s">
        <v>617</v>
      </c>
      <c r="B147" s="27" t="s">
        <v>618</v>
      </c>
      <c r="C147" s="22"/>
      <c r="D147" s="22"/>
    </row>
    <row r="148" spans="1:4" hidden="1" x14ac:dyDescent="0.25">
      <c r="A148" s="22" t="s">
        <v>619</v>
      </c>
      <c r="B148" s="27" t="s">
        <v>620</v>
      </c>
      <c r="C148" s="22"/>
      <c r="D148" s="22"/>
    </row>
    <row r="149" spans="1:4" hidden="1" x14ac:dyDescent="0.25">
      <c r="A149" s="22" t="s">
        <v>621</v>
      </c>
      <c r="B149" s="27" t="s">
        <v>622</v>
      </c>
      <c r="C149" s="22"/>
      <c r="D149" s="22"/>
    </row>
    <row r="150" spans="1:4" hidden="1" x14ac:dyDescent="0.25">
      <c r="A150" s="22" t="s">
        <v>623</v>
      </c>
      <c r="B150" s="27" t="s">
        <v>624</v>
      </c>
      <c r="C150" s="22"/>
      <c r="D150" s="22"/>
    </row>
    <row r="151" spans="1:4" hidden="1" x14ac:dyDescent="0.25">
      <c r="A151" s="22" t="s">
        <v>625</v>
      </c>
      <c r="B151" s="27" t="s">
        <v>626</v>
      </c>
      <c r="C151" s="22"/>
      <c r="D151" s="22"/>
    </row>
    <row r="152" spans="1:4" hidden="1" x14ac:dyDescent="0.25">
      <c r="A152" s="22" t="s">
        <v>627</v>
      </c>
      <c r="B152" s="27" t="s">
        <v>628</v>
      </c>
      <c r="C152" s="22"/>
      <c r="D152" s="22"/>
    </row>
    <row r="153" spans="1:4" hidden="1" x14ac:dyDescent="0.25">
      <c r="A153" s="22" t="s">
        <v>629</v>
      </c>
      <c r="B153" s="27" t="s">
        <v>630</v>
      </c>
      <c r="C153" s="22"/>
      <c r="D153" s="22"/>
    </row>
    <row r="154" spans="1:4" hidden="1" x14ac:dyDescent="0.25">
      <c r="A154" s="22" t="s">
        <v>631</v>
      </c>
      <c r="B154" s="27" t="s">
        <v>632</v>
      </c>
      <c r="C154" s="22"/>
      <c r="D154" s="22"/>
    </row>
    <row r="155" spans="1:4" hidden="1" x14ac:dyDescent="0.25">
      <c r="A155" s="22" t="s">
        <v>633</v>
      </c>
      <c r="B155" s="27" t="s">
        <v>634</v>
      </c>
      <c r="C155" s="22"/>
      <c r="D155" s="22"/>
    </row>
    <row r="156" spans="1:4" hidden="1" x14ac:dyDescent="0.25">
      <c r="A156" s="22" t="s">
        <v>635</v>
      </c>
      <c r="B156" s="27" t="s">
        <v>636</v>
      </c>
      <c r="C156" s="22"/>
      <c r="D156" s="22"/>
    </row>
    <row r="157" spans="1:4" hidden="1" x14ac:dyDescent="0.25">
      <c r="A157" s="22" t="s">
        <v>637</v>
      </c>
      <c r="B157" s="27" t="s">
        <v>638</v>
      </c>
      <c r="C157" s="22"/>
      <c r="D157" s="22"/>
    </row>
    <row r="158" spans="1:4" hidden="1" x14ac:dyDescent="0.25">
      <c r="A158" s="22" t="s">
        <v>639</v>
      </c>
      <c r="B158" s="27" t="s">
        <v>640</v>
      </c>
      <c r="C158" s="22"/>
      <c r="D158" s="22"/>
    </row>
    <row r="159" spans="1:4" hidden="1" x14ac:dyDescent="0.25">
      <c r="A159" s="22" t="s">
        <v>641</v>
      </c>
      <c r="B159" s="27" t="s">
        <v>642</v>
      </c>
      <c r="C159" s="22"/>
      <c r="D159" s="22"/>
    </row>
    <row r="160" spans="1:4" hidden="1" x14ac:dyDescent="0.25">
      <c r="A160" s="22" t="s">
        <v>643</v>
      </c>
      <c r="B160" s="27" t="s">
        <v>644</v>
      </c>
      <c r="C160" s="22"/>
      <c r="D160" s="22"/>
    </row>
    <row r="161" spans="1:4" hidden="1" x14ac:dyDescent="0.25">
      <c r="A161" s="22" t="s">
        <v>645</v>
      </c>
      <c r="B161" s="27" t="s">
        <v>646</v>
      </c>
      <c r="C161" s="22"/>
      <c r="D161" s="22"/>
    </row>
    <row r="162" spans="1:4" hidden="1" x14ac:dyDescent="0.25">
      <c r="A162" s="22" t="s">
        <v>647</v>
      </c>
      <c r="B162" s="27" t="s">
        <v>648</v>
      </c>
      <c r="C162" s="22"/>
      <c r="D162" s="22"/>
    </row>
    <row r="163" spans="1:4" hidden="1" x14ac:dyDescent="0.25">
      <c r="A163" s="22" t="s">
        <v>649</v>
      </c>
      <c r="B163" s="27" t="s">
        <v>650</v>
      </c>
      <c r="C163" s="22"/>
      <c r="D163" s="22"/>
    </row>
    <row r="164" spans="1:4" hidden="1" x14ac:dyDescent="0.25">
      <c r="A164" s="22" t="s">
        <v>651</v>
      </c>
      <c r="B164" s="27" t="s">
        <v>652</v>
      </c>
      <c r="C164" s="22"/>
      <c r="D164" s="22"/>
    </row>
    <row r="165" spans="1:4" hidden="1" x14ac:dyDescent="0.25">
      <c r="A165" s="22" t="s">
        <v>653</v>
      </c>
      <c r="B165" s="27" t="s">
        <v>654</v>
      </c>
      <c r="C165" s="22"/>
      <c r="D165" s="22"/>
    </row>
    <row r="166" spans="1:4" hidden="1" x14ac:dyDescent="0.25">
      <c r="A166" s="22" t="s">
        <v>655</v>
      </c>
      <c r="B166" s="27" t="s">
        <v>656</v>
      </c>
      <c r="C166" s="22"/>
      <c r="D166" s="22"/>
    </row>
    <row r="167" spans="1:4" hidden="1" x14ac:dyDescent="0.25">
      <c r="A167" s="22" t="s">
        <v>657</v>
      </c>
      <c r="B167" s="27" t="s">
        <v>658</v>
      </c>
      <c r="C167" s="22"/>
      <c r="D167" s="22"/>
    </row>
    <row r="168" spans="1:4" hidden="1" x14ac:dyDescent="0.25">
      <c r="A168" s="22" t="s">
        <v>659</v>
      </c>
      <c r="B168" s="27" t="s">
        <v>660</v>
      </c>
      <c r="C168" s="22"/>
      <c r="D168" s="22"/>
    </row>
    <row r="169" spans="1:4" hidden="1" x14ac:dyDescent="0.25">
      <c r="A169" s="22" t="s">
        <v>661</v>
      </c>
      <c r="B169" s="27" t="s">
        <v>662</v>
      </c>
      <c r="C169" s="22"/>
      <c r="D169" s="22"/>
    </row>
    <row r="170" spans="1:4" hidden="1" x14ac:dyDescent="0.25">
      <c r="A170" s="22" t="s">
        <v>663</v>
      </c>
      <c r="B170" s="27" t="s">
        <v>664</v>
      </c>
      <c r="C170" s="22"/>
      <c r="D170" s="22"/>
    </row>
    <row r="171" spans="1:4" hidden="1" x14ac:dyDescent="0.25">
      <c r="A171" s="22" t="s">
        <v>665</v>
      </c>
      <c r="B171" s="27" t="s">
        <v>666</v>
      </c>
      <c r="C171" s="22"/>
      <c r="D171" s="22"/>
    </row>
    <row r="172" spans="1:4" hidden="1" x14ac:dyDescent="0.25">
      <c r="A172" s="22" t="s">
        <v>667</v>
      </c>
      <c r="B172" s="27" t="s">
        <v>668</v>
      </c>
      <c r="C172" s="22"/>
      <c r="D172" s="22"/>
    </row>
    <row r="173" spans="1:4" hidden="1" x14ac:dyDescent="0.25">
      <c r="A173" s="2" t="s">
        <v>669</v>
      </c>
      <c r="B173" s="3" t="s">
        <v>670</v>
      </c>
      <c r="C173" s="22"/>
      <c r="D173" s="22"/>
    </row>
    <row r="174" spans="1:4" hidden="1" x14ac:dyDescent="0.25">
      <c r="A174" s="22" t="s">
        <v>671</v>
      </c>
      <c r="B174" s="27" t="s">
        <v>672</v>
      </c>
      <c r="C174" s="22"/>
      <c r="D174" s="22"/>
    </row>
    <row r="175" spans="1:4" hidden="1" x14ac:dyDescent="0.25">
      <c r="A175" s="22" t="s">
        <v>673</v>
      </c>
      <c r="B175" s="27" t="s">
        <v>674</v>
      </c>
      <c r="C175" s="22"/>
      <c r="D175" s="22"/>
    </row>
    <row r="176" spans="1:4" hidden="1" x14ac:dyDescent="0.25">
      <c r="A176" s="22" t="s">
        <v>675</v>
      </c>
      <c r="B176" s="27" t="s">
        <v>676</v>
      </c>
      <c r="C176" s="22"/>
      <c r="D176" s="22"/>
    </row>
    <row r="177" spans="1:4" hidden="1" x14ac:dyDescent="0.25">
      <c r="A177" s="22" t="s">
        <v>677</v>
      </c>
      <c r="B177" s="27" t="s">
        <v>678</v>
      </c>
      <c r="C177" s="22"/>
      <c r="D177" s="22"/>
    </row>
    <row r="178" spans="1:4" hidden="1" x14ac:dyDescent="0.25">
      <c r="A178" s="22" t="s">
        <v>679</v>
      </c>
      <c r="B178" s="27" t="s">
        <v>680</v>
      </c>
      <c r="C178" s="22"/>
      <c r="D178" s="22"/>
    </row>
    <row r="179" spans="1:4" hidden="1" x14ac:dyDescent="0.25">
      <c r="A179" s="22" t="s">
        <v>681</v>
      </c>
      <c r="B179" s="27" t="s">
        <v>682</v>
      </c>
      <c r="C179" s="22"/>
      <c r="D179" s="22"/>
    </row>
    <row r="180" spans="1:4" hidden="1" x14ac:dyDescent="0.25">
      <c r="A180" s="22" t="s">
        <v>683</v>
      </c>
      <c r="B180" s="27" t="s">
        <v>684</v>
      </c>
      <c r="C180" s="22"/>
      <c r="D180" s="22"/>
    </row>
    <row r="181" spans="1:4" hidden="1" x14ac:dyDescent="0.25">
      <c r="A181" s="22" t="s">
        <v>685</v>
      </c>
      <c r="B181" s="27" t="s">
        <v>686</v>
      </c>
      <c r="C181" s="22"/>
      <c r="D181" s="22"/>
    </row>
    <row r="182" spans="1:4" hidden="1" x14ac:dyDescent="0.25">
      <c r="A182" s="22" t="s">
        <v>687</v>
      </c>
      <c r="B182" s="27" t="s">
        <v>688</v>
      </c>
      <c r="C182" s="22"/>
      <c r="D182" s="22"/>
    </row>
    <row r="183" spans="1:4" hidden="1" x14ac:dyDescent="0.25">
      <c r="A183" s="22" t="s">
        <v>689</v>
      </c>
      <c r="B183" s="27" t="s">
        <v>690</v>
      </c>
      <c r="C183" s="22"/>
      <c r="D183" s="22"/>
    </row>
    <row r="184" spans="1:4" hidden="1" x14ac:dyDescent="0.25">
      <c r="A184" s="22" t="s">
        <v>691</v>
      </c>
      <c r="B184" s="27" t="s">
        <v>692</v>
      </c>
      <c r="C184" s="22"/>
      <c r="D184" s="22"/>
    </row>
    <row r="185" spans="1:4" hidden="1" x14ac:dyDescent="0.25">
      <c r="A185" s="22" t="s">
        <v>693</v>
      </c>
      <c r="B185" s="27" t="s">
        <v>694</v>
      </c>
      <c r="C185" s="22"/>
      <c r="D185" s="22"/>
    </row>
    <row r="186" spans="1:4" hidden="1" x14ac:dyDescent="0.25">
      <c r="A186" s="22" t="s">
        <v>695</v>
      </c>
      <c r="B186" s="27" t="s">
        <v>696</v>
      </c>
      <c r="C186" s="22"/>
      <c r="D186" s="22"/>
    </row>
    <row r="187" spans="1:4" hidden="1" x14ac:dyDescent="0.25">
      <c r="A187" s="22" t="s">
        <v>697</v>
      </c>
      <c r="B187" s="27" t="s">
        <v>698</v>
      </c>
      <c r="C187" s="22"/>
      <c r="D187" s="22"/>
    </row>
    <row r="188" spans="1:4" hidden="1" x14ac:dyDescent="0.25">
      <c r="A188" s="22" t="s">
        <v>699</v>
      </c>
      <c r="B188" s="27" t="s">
        <v>700</v>
      </c>
      <c r="C188" s="22"/>
      <c r="D188" s="22"/>
    </row>
    <row r="189" spans="1:4" hidden="1" x14ac:dyDescent="0.25">
      <c r="A189" s="22" t="s">
        <v>701</v>
      </c>
      <c r="B189" s="27" t="s">
        <v>702</v>
      </c>
      <c r="C189" s="22"/>
      <c r="D189" s="22"/>
    </row>
    <row r="190" spans="1:4" hidden="1" x14ac:dyDescent="0.25">
      <c r="A190" s="22" t="s">
        <v>703</v>
      </c>
      <c r="B190" s="27" t="s">
        <v>704</v>
      </c>
      <c r="C190" s="22"/>
      <c r="D190" s="22"/>
    </row>
    <row r="191" spans="1:4" hidden="1" x14ac:dyDescent="0.25">
      <c r="A191" s="22" t="s">
        <v>705</v>
      </c>
      <c r="B191" s="27" t="s">
        <v>706</v>
      </c>
      <c r="C191" s="22"/>
      <c r="D191" s="22"/>
    </row>
    <row r="192" spans="1:4" hidden="1" x14ac:dyDescent="0.25">
      <c r="A192" s="22" t="s">
        <v>707</v>
      </c>
      <c r="B192" s="27" t="s">
        <v>708</v>
      </c>
      <c r="C192" s="22"/>
      <c r="D192" s="22"/>
    </row>
    <row r="193" spans="1:4" hidden="1" x14ac:dyDescent="0.25">
      <c r="A193" s="22" t="s">
        <v>709</v>
      </c>
      <c r="B193" s="27" t="s">
        <v>710</v>
      </c>
      <c r="C193" s="22"/>
      <c r="D193" s="22"/>
    </row>
    <row r="194" spans="1:4" hidden="1" x14ac:dyDescent="0.25">
      <c r="A194" s="22" t="s">
        <v>711</v>
      </c>
      <c r="B194" s="27" t="s">
        <v>712</v>
      </c>
      <c r="C194" s="22"/>
      <c r="D194" s="22"/>
    </row>
    <row r="195" spans="1:4" hidden="1" x14ac:dyDescent="0.25">
      <c r="A195" s="22" t="s">
        <v>713</v>
      </c>
      <c r="B195" s="27" t="s">
        <v>714</v>
      </c>
      <c r="C195" s="22"/>
      <c r="D195" s="22"/>
    </row>
    <row r="196" spans="1:4" hidden="1" x14ac:dyDescent="0.25">
      <c r="A196" s="22" t="s">
        <v>715</v>
      </c>
      <c r="B196" s="27" t="s">
        <v>716</v>
      </c>
      <c r="C196" s="22"/>
      <c r="D196" s="22"/>
    </row>
    <row r="197" spans="1:4" hidden="1" x14ac:dyDescent="0.25">
      <c r="A197" s="22" t="s">
        <v>717</v>
      </c>
      <c r="B197" s="27" t="s">
        <v>718</v>
      </c>
      <c r="C197" s="22"/>
      <c r="D197" s="22"/>
    </row>
    <row r="198" spans="1:4" hidden="1" x14ac:dyDescent="0.25">
      <c r="A198" s="22" t="s">
        <v>719</v>
      </c>
      <c r="B198" s="27" t="s">
        <v>720</v>
      </c>
      <c r="C198" s="22"/>
      <c r="D198" s="22"/>
    </row>
    <row r="199" spans="1:4" hidden="1" x14ac:dyDescent="0.25">
      <c r="A199" s="22" t="s">
        <v>721</v>
      </c>
      <c r="B199" s="27" t="s">
        <v>722</v>
      </c>
      <c r="C199" s="22"/>
      <c r="D199" s="22"/>
    </row>
    <row r="200" spans="1:4" hidden="1" x14ac:dyDescent="0.25">
      <c r="A200" s="22" t="s">
        <v>723</v>
      </c>
      <c r="B200" s="27" t="s">
        <v>724</v>
      </c>
      <c r="C200" s="22"/>
      <c r="D200" s="22"/>
    </row>
    <row r="201" spans="1:4" hidden="1" x14ac:dyDescent="0.25">
      <c r="A201" s="22" t="s">
        <v>725</v>
      </c>
      <c r="B201" s="27" t="s">
        <v>726</v>
      </c>
      <c r="C201" s="22"/>
      <c r="D201" s="22"/>
    </row>
    <row r="202" spans="1:4" hidden="1" x14ac:dyDescent="0.25">
      <c r="A202" s="22" t="s">
        <v>727</v>
      </c>
      <c r="B202" s="27" t="s">
        <v>728</v>
      </c>
      <c r="C202" s="22"/>
      <c r="D202" s="22"/>
    </row>
    <row r="203" spans="1:4" hidden="1" x14ac:dyDescent="0.25">
      <c r="A203" s="22" t="s">
        <v>729</v>
      </c>
      <c r="B203" s="27" t="s">
        <v>730</v>
      </c>
      <c r="C203" s="22"/>
      <c r="D203" s="22"/>
    </row>
    <row r="204" spans="1:4" hidden="1" x14ac:dyDescent="0.25">
      <c r="A204" s="22" t="s">
        <v>731</v>
      </c>
      <c r="B204" s="27" t="s">
        <v>732</v>
      </c>
      <c r="C204" s="22"/>
      <c r="D204" s="22"/>
    </row>
    <row r="205" spans="1:4" hidden="1" x14ac:dyDescent="0.25">
      <c r="A205" s="22" t="s">
        <v>733</v>
      </c>
      <c r="B205" s="27" t="s">
        <v>734</v>
      </c>
      <c r="C205" s="22"/>
      <c r="D205" s="22"/>
    </row>
    <row r="206" spans="1:4" hidden="1" x14ac:dyDescent="0.25">
      <c r="A206" s="22" t="s">
        <v>735</v>
      </c>
      <c r="B206" s="27" t="s">
        <v>736</v>
      </c>
      <c r="C206" s="22"/>
      <c r="D206" s="22"/>
    </row>
    <row r="207" spans="1:4" hidden="1" x14ac:dyDescent="0.25">
      <c r="A207" s="22" t="s">
        <v>737</v>
      </c>
      <c r="B207" s="27" t="s">
        <v>738</v>
      </c>
      <c r="C207" s="22"/>
      <c r="D207" s="22"/>
    </row>
    <row r="208" spans="1:4" hidden="1" x14ac:dyDescent="0.25">
      <c r="A208" s="22" t="s">
        <v>739</v>
      </c>
      <c r="B208" s="27" t="s">
        <v>740</v>
      </c>
      <c r="C208" s="22"/>
      <c r="D208" s="22"/>
    </row>
    <row r="209" spans="1:4" hidden="1" x14ac:dyDescent="0.25">
      <c r="A209" s="2" t="s">
        <v>741</v>
      </c>
      <c r="B209" s="3" t="s">
        <v>742</v>
      </c>
      <c r="C209" s="22"/>
      <c r="D209" s="22"/>
    </row>
    <row r="210" spans="1:4" hidden="1" x14ac:dyDescent="0.25">
      <c r="A210" s="22" t="s">
        <v>743</v>
      </c>
      <c r="B210" s="27" t="s">
        <v>744</v>
      </c>
      <c r="C210" s="22"/>
      <c r="D210" s="22"/>
    </row>
    <row r="211" spans="1:4" hidden="1" x14ac:dyDescent="0.25">
      <c r="A211" s="22" t="s">
        <v>745</v>
      </c>
      <c r="B211" s="27" t="s">
        <v>746</v>
      </c>
      <c r="C211" s="22"/>
      <c r="D211" s="22"/>
    </row>
    <row r="212" spans="1:4" hidden="1" x14ac:dyDescent="0.25">
      <c r="A212" s="2" t="s">
        <v>747</v>
      </c>
      <c r="B212" s="3" t="s">
        <v>748</v>
      </c>
      <c r="C212" s="22"/>
      <c r="D212" s="22"/>
    </row>
    <row r="213" spans="1:4" hidden="1" x14ac:dyDescent="0.25">
      <c r="A213" s="22" t="s">
        <v>749</v>
      </c>
      <c r="B213" s="27" t="s">
        <v>750</v>
      </c>
      <c r="C213" s="22"/>
      <c r="D213" s="22"/>
    </row>
    <row r="214" spans="1:4" hidden="1" x14ac:dyDescent="0.25">
      <c r="A214" s="2" t="s">
        <v>39</v>
      </c>
      <c r="B214" s="3" t="s">
        <v>38</v>
      </c>
      <c r="C214" s="22"/>
      <c r="D214" s="22"/>
    </row>
    <row r="215" spans="1:4" hidden="1" x14ac:dyDescent="0.25">
      <c r="A215" s="22" t="s">
        <v>751</v>
      </c>
      <c r="B215" s="27" t="s">
        <v>752</v>
      </c>
      <c r="C215" s="22"/>
      <c r="D215" s="22"/>
    </row>
    <row r="216" spans="1:4" hidden="1" x14ac:dyDescent="0.25">
      <c r="A216" s="22" t="s">
        <v>753</v>
      </c>
      <c r="B216" s="27" t="s">
        <v>754</v>
      </c>
      <c r="C216" s="22"/>
      <c r="D216" s="22"/>
    </row>
    <row r="217" spans="1:4" hidden="1" x14ac:dyDescent="0.25">
      <c r="A217" s="22" t="s">
        <v>755</v>
      </c>
      <c r="B217" s="27" t="s">
        <v>756</v>
      </c>
      <c r="C217" s="22"/>
      <c r="D217" s="22"/>
    </row>
    <row r="218" spans="1:4" hidden="1" x14ac:dyDescent="0.25">
      <c r="A218" s="22" t="s">
        <v>757</v>
      </c>
      <c r="B218" s="27" t="s">
        <v>758</v>
      </c>
      <c r="C218" s="22"/>
      <c r="D218" s="22"/>
    </row>
    <row r="219" spans="1:4" hidden="1" x14ac:dyDescent="0.25">
      <c r="A219" s="22" t="s">
        <v>759</v>
      </c>
      <c r="B219" s="27" t="s">
        <v>760</v>
      </c>
      <c r="C219" s="22"/>
      <c r="D219" s="22"/>
    </row>
    <row r="220" spans="1:4" hidden="1" x14ac:dyDescent="0.25">
      <c r="A220" s="22" t="s">
        <v>761</v>
      </c>
      <c r="B220" s="27" t="s">
        <v>762</v>
      </c>
      <c r="C220" s="22"/>
      <c r="D220" s="22"/>
    </row>
    <row r="221" spans="1:4" hidden="1" x14ac:dyDescent="0.25">
      <c r="A221" s="2" t="s">
        <v>763</v>
      </c>
      <c r="B221" s="3" t="s">
        <v>764</v>
      </c>
      <c r="C221" s="22"/>
      <c r="D221" s="22"/>
    </row>
    <row r="222" spans="1:4" hidden="1" x14ac:dyDescent="0.25">
      <c r="A222" s="2" t="s">
        <v>765</v>
      </c>
      <c r="B222" s="3" t="s">
        <v>766</v>
      </c>
      <c r="C222" s="22"/>
      <c r="D222" s="22"/>
    </row>
    <row r="223" spans="1:4" hidden="1" x14ac:dyDescent="0.25">
      <c r="A223" s="22" t="s">
        <v>767</v>
      </c>
      <c r="B223" s="27" t="s">
        <v>768</v>
      </c>
      <c r="C223" s="22"/>
      <c r="D223" s="22"/>
    </row>
    <row r="224" spans="1:4" hidden="1" x14ac:dyDescent="0.25">
      <c r="A224" s="22" t="s">
        <v>769</v>
      </c>
      <c r="B224" s="27" t="s">
        <v>770</v>
      </c>
      <c r="C224" s="22"/>
      <c r="D224" s="22"/>
    </row>
    <row r="225" spans="1:4" hidden="1" x14ac:dyDescent="0.25">
      <c r="A225" s="22" t="s">
        <v>771</v>
      </c>
      <c r="B225" s="27" t="s">
        <v>772</v>
      </c>
      <c r="C225" s="22"/>
      <c r="D225" s="22"/>
    </row>
    <row r="226" spans="1:4" hidden="1" x14ac:dyDescent="0.25">
      <c r="A226" s="22" t="s">
        <v>773</v>
      </c>
      <c r="B226" s="27" t="s">
        <v>774</v>
      </c>
      <c r="C226" s="22"/>
      <c r="D226" s="22"/>
    </row>
    <row r="227" spans="1:4" hidden="1" x14ac:dyDescent="0.25">
      <c r="A227" s="22" t="s">
        <v>775</v>
      </c>
      <c r="B227" s="27" t="s">
        <v>776</v>
      </c>
      <c r="C227" s="22"/>
      <c r="D227" s="22"/>
    </row>
    <row r="228" spans="1:4" hidden="1" x14ac:dyDescent="0.25">
      <c r="A228" s="22" t="s">
        <v>777</v>
      </c>
      <c r="B228" s="27" t="s">
        <v>778</v>
      </c>
      <c r="C228" s="22"/>
      <c r="D228" s="22"/>
    </row>
    <row r="229" spans="1:4" hidden="1" x14ac:dyDescent="0.25">
      <c r="A229" s="22" t="s">
        <v>779</v>
      </c>
      <c r="B229" s="27" t="s">
        <v>780</v>
      </c>
      <c r="C229" s="22"/>
      <c r="D229" s="22"/>
    </row>
    <row r="230" spans="1:4" hidden="1" x14ac:dyDescent="0.25">
      <c r="A230" s="22" t="s">
        <v>781</v>
      </c>
      <c r="B230" s="27" t="s">
        <v>782</v>
      </c>
      <c r="C230" s="22"/>
      <c r="D230" s="22"/>
    </row>
    <row r="231" spans="1:4" hidden="1" x14ac:dyDescent="0.25">
      <c r="A231" s="22" t="s">
        <v>783</v>
      </c>
      <c r="B231" s="27" t="s">
        <v>784</v>
      </c>
      <c r="C231" s="22"/>
      <c r="D231" s="22"/>
    </row>
    <row r="232" spans="1:4" hidden="1" x14ac:dyDescent="0.25">
      <c r="A232" s="22" t="s">
        <v>785</v>
      </c>
      <c r="B232" s="27" t="s">
        <v>786</v>
      </c>
      <c r="C232" s="22"/>
      <c r="D232" s="22"/>
    </row>
    <row r="233" spans="1:4" hidden="1" x14ac:dyDescent="0.25">
      <c r="A233" s="22" t="s">
        <v>787</v>
      </c>
      <c r="B233" s="27" t="s">
        <v>788</v>
      </c>
      <c r="C233" s="22"/>
      <c r="D233" s="22"/>
    </row>
    <row r="234" spans="1:4" hidden="1" x14ac:dyDescent="0.25">
      <c r="A234" s="22" t="s">
        <v>789</v>
      </c>
      <c r="B234" s="27" t="s">
        <v>790</v>
      </c>
      <c r="C234" s="22"/>
      <c r="D234" s="22"/>
    </row>
    <row r="235" spans="1:4" hidden="1" x14ac:dyDescent="0.25">
      <c r="A235" s="22" t="s">
        <v>791</v>
      </c>
      <c r="B235" s="27" t="s">
        <v>792</v>
      </c>
      <c r="C235" s="22"/>
      <c r="D235" s="22"/>
    </row>
    <row r="236" spans="1:4" hidden="1" x14ac:dyDescent="0.25">
      <c r="A236" s="22" t="s">
        <v>793</v>
      </c>
      <c r="B236" s="27" t="s">
        <v>794</v>
      </c>
      <c r="C236" s="22"/>
      <c r="D236" s="22"/>
    </row>
    <row r="237" spans="1:4" hidden="1" x14ac:dyDescent="0.25">
      <c r="A237" s="22" t="s">
        <v>795</v>
      </c>
      <c r="B237" s="27" t="s">
        <v>796</v>
      </c>
      <c r="C237" s="22"/>
      <c r="D237" s="22"/>
    </row>
    <row r="238" spans="1:4" hidden="1" x14ac:dyDescent="0.25">
      <c r="A238" s="22" t="s">
        <v>797</v>
      </c>
      <c r="B238" s="27" t="s">
        <v>798</v>
      </c>
      <c r="C238" s="22"/>
      <c r="D238" s="22"/>
    </row>
    <row r="239" spans="1:4" hidden="1" x14ac:dyDescent="0.25">
      <c r="A239" s="22" t="s">
        <v>799</v>
      </c>
      <c r="B239" s="27" t="s">
        <v>800</v>
      </c>
      <c r="C239" s="22"/>
      <c r="D239" s="22"/>
    </row>
    <row r="240" spans="1:4" hidden="1" x14ac:dyDescent="0.25">
      <c r="A240" s="22" t="s">
        <v>801</v>
      </c>
      <c r="B240" s="27" t="s">
        <v>802</v>
      </c>
      <c r="C240" s="22"/>
      <c r="D240" s="22"/>
    </row>
    <row r="241" spans="1:4" hidden="1" x14ac:dyDescent="0.25">
      <c r="A241" s="22" t="s">
        <v>803</v>
      </c>
      <c r="B241" s="27" t="s">
        <v>804</v>
      </c>
      <c r="C241" s="22"/>
      <c r="D241" s="22"/>
    </row>
    <row r="242" spans="1:4" hidden="1" x14ac:dyDescent="0.25">
      <c r="A242" s="22" t="s">
        <v>805</v>
      </c>
      <c r="B242" s="27" t="s">
        <v>806</v>
      </c>
      <c r="C242" s="22"/>
      <c r="D242" s="22"/>
    </row>
    <row r="243" spans="1:4" hidden="1" x14ac:dyDescent="0.25">
      <c r="A243" s="22" t="s">
        <v>807</v>
      </c>
      <c r="B243" s="27" t="s">
        <v>808</v>
      </c>
      <c r="C243" s="22"/>
      <c r="D243" s="22"/>
    </row>
    <row r="244" spans="1:4" hidden="1" x14ac:dyDescent="0.25">
      <c r="A244" s="22" t="s">
        <v>809</v>
      </c>
      <c r="B244" s="27" t="s">
        <v>810</v>
      </c>
      <c r="C244" s="22"/>
      <c r="D244" s="22"/>
    </row>
    <row r="245" spans="1:4" hidden="1" x14ac:dyDescent="0.25">
      <c r="A245" s="22" t="s">
        <v>811</v>
      </c>
      <c r="B245" s="27" t="s">
        <v>812</v>
      </c>
      <c r="C245" s="22"/>
      <c r="D245" s="22"/>
    </row>
    <row r="246" spans="1:4" hidden="1" x14ac:dyDescent="0.25">
      <c r="A246" s="22" t="s">
        <v>813</v>
      </c>
      <c r="B246" s="27" t="s">
        <v>814</v>
      </c>
      <c r="C246" s="22"/>
      <c r="D246" s="22"/>
    </row>
    <row r="247" spans="1:4" hidden="1" x14ac:dyDescent="0.25">
      <c r="A247" s="22" t="s">
        <v>815</v>
      </c>
      <c r="B247" s="27" t="s">
        <v>816</v>
      </c>
      <c r="C247" s="22"/>
      <c r="D247" s="22"/>
    </row>
    <row r="248" spans="1:4" hidden="1" x14ac:dyDescent="0.25">
      <c r="A248" s="22" t="s">
        <v>817</v>
      </c>
      <c r="B248" s="27" t="s">
        <v>818</v>
      </c>
      <c r="C248" s="22"/>
      <c r="D248" s="22"/>
    </row>
    <row r="249" spans="1:4" hidden="1" x14ac:dyDescent="0.25">
      <c r="A249" s="22" t="s">
        <v>819</v>
      </c>
      <c r="B249" s="27" t="s">
        <v>820</v>
      </c>
      <c r="C249" s="22"/>
      <c r="D249" s="22"/>
    </row>
    <row r="250" spans="1:4" hidden="1" x14ac:dyDescent="0.25">
      <c r="A250" s="22" t="s">
        <v>821</v>
      </c>
      <c r="B250" s="27" t="s">
        <v>822</v>
      </c>
      <c r="C250" s="22"/>
      <c r="D250" s="22"/>
    </row>
    <row r="251" spans="1:4" hidden="1" x14ac:dyDescent="0.25">
      <c r="A251" s="22" t="s">
        <v>823</v>
      </c>
      <c r="B251" s="27" t="s">
        <v>824</v>
      </c>
      <c r="C251" s="22"/>
      <c r="D251" s="22"/>
    </row>
    <row r="252" spans="1:4" hidden="1" x14ac:dyDescent="0.25">
      <c r="A252" s="22" t="s">
        <v>825</v>
      </c>
      <c r="B252" s="27" t="s">
        <v>826</v>
      </c>
      <c r="C252" s="22"/>
      <c r="D252" s="22"/>
    </row>
    <row r="253" spans="1:4" hidden="1" x14ac:dyDescent="0.25">
      <c r="A253" s="22" t="s">
        <v>827</v>
      </c>
      <c r="B253" s="27" t="s">
        <v>828</v>
      </c>
      <c r="C253" s="22"/>
      <c r="D253" s="22"/>
    </row>
    <row r="254" spans="1:4" hidden="1" x14ac:dyDescent="0.25">
      <c r="A254" s="22" t="s">
        <v>829</v>
      </c>
      <c r="B254" s="27" t="s">
        <v>830</v>
      </c>
      <c r="C254" s="22"/>
      <c r="D254" s="22"/>
    </row>
    <row r="255" spans="1:4" hidden="1" x14ac:dyDescent="0.25">
      <c r="A255" s="22" t="s">
        <v>831</v>
      </c>
      <c r="B255" s="27" t="s">
        <v>832</v>
      </c>
      <c r="C255" s="22"/>
      <c r="D255" s="22"/>
    </row>
    <row r="256" spans="1:4" hidden="1" x14ac:dyDescent="0.25">
      <c r="A256" s="22" t="s">
        <v>833</v>
      </c>
      <c r="B256" s="27" t="s">
        <v>834</v>
      </c>
      <c r="C256" s="22"/>
      <c r="D256" s="22"/>
    </row>
    <row r="257" spans="1:4" hidden="1" x14ac:dyDescent="0.25">
      <c r="A257" s="22" t="s">
        <v>835</v>
      </c>
      <c r="B257" s="27" t="s">
        <v>836</v>
      </c>
      <c r="C257" s="22"/>
      <c r="D257" s="22"/>
    </row>
    <row r="258" spans="1:4" hidden="1" x14ac:dyDescent="0.25">
      <c r="A258" s="22" t="s">
        <v>837</v>
      </c>
      <c r="B258" s="27" t="s">
        <v>838</v>
      </c>
      <c r="C258" s="22"/>
      <c r="D258" s="22"/>
    </row>
    <row r="259" spans="1:4" hidden="1" x14ac:dyDescent="0.25">
      <c r="A259" s="22" t="s">
        <v>839</v>
      </c>
      <c r="B259" s="27" t="s">
        <v>840</v>
      </c>
      <c r="C259" s="22"/>
      <c r="D259" s="22"/>
    </row>
    <row r="260" spans="1:4" hidden="1" x14ac:dyDescent="0.25">
      <c r="A260" s="22" t="s">
        <v>841</v>
      </c>
      <c r="B260" s="27" t="s">
        <v>842</v>
      </c>
      <c r="C260" s="22"/>
      <c r="D260" s="22"/>
    </row>
    <row r="261" spans="1:4" hidden="1" x14ac:dyDescent="0.25">
      <c r="A261" s="22" t="s">
        <v>843</v>
      </c>
      <c r="B261" s="27" t="s">
        <v>844</v>
      </c>
      <c r="C261" s="22"/>
      <c r="D261" s="22"/>
    </row>
    <row r="262" spans="1:4" hidden="1" x14ac:dyDescent="0.25">
      <c r="A262" s="2" t="s">
        <v>180</v>
      </c>
      <c r="B262" s="3" t="s">
        <v>179</v>
      </c>
      <c r="C262" s="22"/>
      <c r="D262" s="22"/>
    </row>
    <row r="263" spans="1:4" hidden="1" x14ac:dyDescent="0.25">
      <c r="A263" s="22" t="s">
        <v>845</v>
      </c>
      <c r="B263" s="27" t="s">
        <v>846</v>
      </c>
      <c r="C263" s="22"/>
      <c r="D263" s="22"/>
    </row>
    <row r="264" spans="1:4" hidden="1" x14ac:dyDescent="0.25">
      <c r="A264" s="22" t="s">
        <v>847</v>
      </c>
      <c r="B264" s="27" t="s">
        <v>848</v>
      </c>
      <c r="C264" s="22"/>
      <c r="D264" s="22"/>
    </row>
    <row r="265" spans="1:4" hidden="1" x14ac:dyDescent="0.25">
      <c r="A265" s="22" t="s">
        <v>849</v>
      </c>
      <c r="B265" s="27" t="s">
        <v>850</v>
      </c>
      <c r="C265" s="22"/>
      <c r="D265" s="22"/>
    </row>
    <row r="266" spans="1:4" hidden="1" x14ac:dyDescent="0.25">
      <c r="A266" s="22" t="s">
        <v>851</v>
      </c>
      <c r="B266" s="27" t="s">
        <v>852</v>
      </c>
      <c r="C266" s="22"/>
      <c r="D266" s="22"/>
    </row>
    <row r="267" spans="1:4" hidden="1" x14ac:dyDescent="0.25">
      <c r="A267" s="22" t="s">
        <v>853</v>
      </c>
      <c r="B267" s="27" t="s">
        <v>854</v>
      </c>
      <c r="C267" s="22"/>
      <c r="D267" s="22"/>
    </row>
    <row r="268" spans="1:4" hidden="1" x14ac:dyDescent="0.25">
      <c r="A268" s="22" t="s">
        <v>855</v>
      </c>
      <c r="B268" s="27" t="s">
        <v>856</v>
      </c>
      <c r="C268" s="22"/>
      <c r="D268" s="22"/>
    </row>
    <row r="269" spans="1:4" hidden="1" x14ac:dyDescent="0.25">
      <c r="A269" s="22" t="s">
        <v>857</v>
      </c>
      <c r="B269" s="27" t="s">
        <v>858</v>
      </c>
      <c r="C269" s="22"/>
      <c r="D269" s="22"/>
    </row>
    <row r="270" spans="1:4" hidden="1" x14ac:dyDescent="0.25">
      <c r="A270" s="22" t="s">
        <v>859</v>
      </c>
      <c r="B270" s="27" t="s">
        <v>860</v>
      </c>
      <c r="C270" s="22"/>
      <c r="D270" s="22"/>
    </row>
    <row r="271" spans="1:4" hidden="1" x14ac:dyDescent="0.25">
      <c r="A271" s="22" t="s">
        <v>861</v>
      </c>
      <c r="B271" s="27" t="s">
        <v>862</v>
      </c>
      <c r="C271" s="22"/>
      <c r="D271" s="22"/>
    </row>
    <row r="272" spans="1:4" hidden="1" x14ac:dyDescent="0.25">
      <c r="A272" s="22" t="s">
        <v>863</v>
      </c>
      <c r="B272" s="27" t="s">
        <v>864</v>
      </c>
      <c r="C272" s="22"/>
      <c r="D272" s="22"/>
    </row>
    <row r="273" spans="1:4" hidden="1" x14ac:dyDescent="0.25">
      <c r="A273" s="22" t="s">
        <v>865</v>
      </c>
      <c r="B273" s="27" t="s">
        <v>866</v>
      </c>
      <c r="C273" s="22"/>
      <c r="D273" s="22"/>
    </row>
    <row r="274" spans="1:4" hidden="1" x14ac:dyDescent="0.25">
      <c r="A274" s="22" t="s">
        <v>867</v>
      </c>
      <c r="B274" s="27" t="s">
        <v>868</v>
      </c>
      <c r="C274" s="22"/>
      <c r="D274" s="22"/>
    </row>
    <row r="275" spans="1:4" hidden="1" x14ac:dyDescent="0.25">
      <c r="A275" s="22" t="s">
        <v>869</v>
      </c>
      <c r="B275" s="27" t="s">
        <v>870</v>
      </c>
      <c r="C275" s="22"/>
      <c r="D275" s="22"/>
    </row>
    <row r="276" spans="1:4" hidden="1" x14ac:dyDescent="0.25">
      <c r="A276" s="22" t="s">
        <v>871</v>
      </c>
      <c r="B276" s="27" t="s">
        <v>872</v>
      </c>
      <c r="C276" s="22"/>
      <c r="D276" s="22"/>
    </row>
    <row r="277" spans="1:4" hidden="1" x14ac:dyDescent="0.25">
      <c r="A277" s="22" t="s">
        <v>873</v>
      </c>
      <c r="B277" s="27" t="s">
        <v>874</v>
      </c>
      <c r="C277" s="22"/>
      <c r="D277" s="22"/>
    </row>
    <row r="278" spans="1:4" hidden="1" x14ac:dyDescent="0.25">
      <c r="A278" s="22" t="s">
        <v>875</v>
      </c>
      <c r="B278" s="27" t="s">
        <v>876</v>
      </c>
      <c r="C278" s="22"/>
      <c r="D278" s="22"/>
    </row>
    <row r="279" spans="1:4" hidden="1" x14ac:dyDescent="0.25">
      <c r="A279" s="2" t="s">
        <v>877</v>
      </c>
      <c r="B279" s="3" t="s">
        <v>878</v>
      </c>
      <c r="C279" s="22"/>
      <c r="D279" s="22"/>
    </row>
    <row r="280" spans="1:4" hidden="1" x14ac:dyDescent="0.25">
      <c r="A280" s="22" t="s">
        <v>879</v>
      </c>
      <c r="B280" s="27" t="s">
        <v>880</v>
      </c>
      <c r="C280" s="22"/>
      <c r="D280" s="22"/>
    </row>
    <row r="281" spans="1:4" hidden="1" x14ac:dyDescent="0.25">
      <c r="A281" s="22" t="s">
        <v>881</v>
      </c>
      <c r="B281" s="27" t="s">
        <v>882</v>
      </c>
      <c r="C281" s="22"/>
      <c r="D281" s="22"/>
    </row>
    <row r="282" spans="1:4" hidden="1" x14ac:dyDescent="0.25">
      <c r="A282" s="22" t="s">
        <v>883</v>
      </c>
      <c r="B282" s="27" t="s">
        <v>884</v>
      </c>
      <c r="C282" s="22"/>
      <c r="D282" s="22"/>
    </row>
    <row r="283" spans="1:4" hidden="1" x14ac:dyDescent="0.25">
      <c r="A283" s="22" t="s">
        <v>885</v>
      </c>
      <c r="B283" s="27" t="s">
        <v>886</v>
      </c>
      <c r="C283" s="22"/>
      <c r="D283" s="22"/>
    </row>
    <row r="284" spans="1:4" hidden="1" x14ac:dyDescent="0.25">
      <c r="A284" s="22" t="s">
        <v>887</v>
      </c>
      <c r="B284" s="27" t="s">
        <v>888</v>
      </c>
      <c r="C284" s="22"/>
      <c r="D284" s="22"/>
    </row>
    <row r="285" spans="1:4" hidden="1" x14ac:dyDescent="0.25">
      <c r="A285" s="2" t="s">
        <v>889</v>
      </c>
      <c r="B285" s="3" t="s">
        <v>890</v>
      </c>
      <c r="C285" s="22"/>
      <c r="D285" s="22"/>
    </row>
    <row r="286" spans="1:4" hidden="1" x14ac:dyDescent="0.25">
      <c r="A286" s="22" t="s">
        <v>891</v>
      </c>
      <c r="B286" s="27" t="s">
        <v>892</v>
      </c>
      <c r="C286" s="22"/>
      <c r="D286" s="22"/>
    </row>
    <row r="287" spans="1:4" hidden="1" x14ac:dyDescent="0.25">
      <c r="A287" s="22" t="s">
        <v>893</v>
      </c>
      <c r="B287" s="27" t="s">
        <v>894</v>
      </c>
      <c r="C287" s="22"/>
      <c r="D287" s="22"/>
    </row>
    <row r="288" spans="1:4" hidden="1" x14ac:dyDescent="0.25">
      <c r="A288" s="2" t="s">
        <v>895</v>
      </c>
      <c r="B288" s="3" t="s">
        <v>896</v>
      </c>
      <c r="C288" s="22"/>
      <c r="D288" s="22"/>
    </row>
    <row r="289" spans="1:4" hidden="1" x14ac:dyDescent="0.25">
      <c r="A289" s="22" t="s">
        <v>897</v>
      </c>
      <c r="B289" s="27" t="s">
        <v>898</v>
      </c>
      <c r="C289" s="22"/>
      <c r="D289" s="22"/>
    </row>
    <row r="290" spans="1:4" hidden="1" x14ac:dyDescent="0.25">
      <c r="A290" s="22" t="s">
        <v>899</v>
      </c>
      <c r="B290" s="27" t="s">
        <v>900</v>
      </c>
      <c r="C290" s="22"/>
      <c r="D290" s="22"/>
    </row>
    <row r="291" spans="1:4" hidden="1" x14ac:dyDescent="0.25">
      <c r="A291" s="22" t="s">
        <v>901</v>
      </c>
      <c r="B291" s="27" t="s">
        <v>902</v>
      </c>
      <c r="C291" s="22"/>
      <c r="D291" s="22"/>
    </row>
    <row r="292" spans="1:4" hidden="1" x14ac:dyDescent="0.25">
      <c r="A292" s="22" t="s">
        <v>903</v>
      </c>
      <c r="B292" s="27" t="s">
        <v>904</v>
      </c>
      <c r="C292" s="22"/>
      <c r="D292" s="22"/>
    </row>
    <row r="293" spans="1:4" hidden="1" x14ac:dyDescent="0.25">
      <c r="A293" s="22" t="s">
        <v>905</v>
      </c>
      <c r="B293" s="27" t="s">
        <v>906</v>
      </c>
      <c r="C293" s="22"/>
      <c r="D293" s="22"/>
    </row>
    <row r="294" spans="1:4" hidden="1" x14ac:dyDescent="0.25">
      <c r="A294" s="22" t="s">
        <v>907</v>
      </c>
      <c r="B294" s="27" t="s">
        <v>908</v>
      </c>
      <c r="C294" s="22"/>
      <c r="D294" s="22"/>
    </row>
    <row r="295" spans="1:4" hidden="1" x14ac:dyDescent="0.25">
      <c r="A295" s="26" t="s">
        <v>909</v>
      </c>
      <c r="B295" s="28" t="s">
        <v>910</v>
      </c>
      <c r="C295" s="22"/>
      <c r="D295" s="22"/>
    </row>
    <row r="296" spans="1:4" hidden="1" x14ac:dyDescent="0.25">
      <c r="A296" s="26" t="s">
        <v>911</v>
      </c>
      <c r="B296" s="28" t="s">
        <v>912</v>
      </c>
      <c r="C296" s="22"/>
      <c r="D296" s="22"/>
    </row>
    <row r="297" spans="1:4" hidden="1" x14ac:dyDescent="0.25">
      <c r="A297" s="26" t="s">
        <v>913</v>
      </c>
      <c r="B297" s="28" t="s">
        <v>914</v>
      </c>
      <c r="C297" s="22"/>
      <c r="D297" s="22"/>
    </row>
    <row r="298" spans="1:4" hidden="1" x14ac:dyDescent="0.25">
      <c r="A298" s="26" t="s">
        <v>915</v>
      </c>
      <c r="B298" s="28" t="s">
        <v>916</v>
      </c>
      <c r="C298" s="22"/>
      <c r="D298" s="22"/>
    </row>
    <row r="299" spans="1:4" hidden="1" x14ac:dyDescent="0.25">
      <c r="A299" s="22" t="s">
        <v>917</v>
      </c>
      <c r="B299" s="27" t="s">
        <v>918</v>
      </c>
      <c r="C299" s="22"/>
      <c r="D299" s="22"/>
    </row>
    <row r="300" spans="1:4" hidden="1" x14ac:dyDescent="0.25">
      <c r="A300" s="22" t="s">
        <v>919</v>
      </c>
      <c r="B300" s="27" t="s">
        <v>920</v>
      </c>
      <c r="C300" s="22"/>
      <c r="D300" s="22"/>
    </row>
    <row r="301" spans="1:4" hidden="1" x14ac:dyDescent="0.25">
      <c r="A301" s="22" t="s">
        <v>921</v>
      </c>
      <c r="B301" s="27" t="s">
        <v>922</v>
      </c>
      <c r="C301" s="22"/>
      <c r="D301" s="22"/>
    </row>
    <row r="302" spans="1:4" hidden="1" x14ac:dyDescent="0.25">
      <c r="A302" s="22" t="s">
        <v>923</v>
      </c>
      <c r="B302" s="27" t="s">
        <v>924</v>
      </c>
      <c r="C302" s="22"/>
      <c r="D302" s="22"/>
    </row>
    <row r="303" spans="1:4" hidden="1" x14ac:dyDescent="0.25">
      <c r="A303" s="2" t="s">
        <v>925</v>
      </c>
      <c r="B303" s="3" t="s">
        <v>926</v>
      </c>
      <c r="C303" s="22"/>
      <c r="D303" s="22"/>
    </row>
    <row r="304" spans="1:4" hidden="1" x14ac:dyDescent="0.25">
      <c r="A304" s="2" t="s">
        <v>927</v>
      </c>
      <c r="B304" s="3" t="s">
        <v>928</v>
      </c>
      <c r="C304" s="22"/>
      <c r="D304" s="22"/>
    </row>
    <row r="305" spans="1:4" hidden="1" x14ac:dyDescent="0.25">
      <c r="A305" s="22" t="s">
        <v>929</v>
      </c>
      <c r="B305" s="27" t="s">
        <v>930</v>
      </c>
      <c r="C305" s="22"/>
      <c r="D305" s="22"/>
    </row>
    <row r="306" spans="1:4" hidden="1" x14ac:dyDescent="0.25">
      <c r="A306" s="22" t="s">
        <v>931</v>
      </c>
      <c r="B306" s="27" t="s">
        <v>932</v>
      </c>
      <c r="C306" s="22"/>
      <c r="D306" s="22"/>
    </row>
    <row r="307" spans="1:4" hidden="1" x14ac:dyDescent="0.25">
      <c r="A307" s="22" t="s">
        <v>933</v>
      </c>
      <c r="B307" s="27" t="s">
        <v>934</v>
      </c>
      <c r="C307" s="22"/>
      <c r="D307" s="22"/>
    </row>
    <row r="308" spans="1:4" hidden="1" x14ac:dyDescent="0.25">
      <c r="A308" s="22" t="s">
        <v>935</v>
      </c>
      <c r="B308" s="27" t="s">
        <v>936</v>
      </c>
      <c r="C308" s="22"/>
      <c r="D308" s="22"/>
    </row>
    <row r="309" spans="1:4" hidden="1" x14ac:dyDescent="0.25">
      <c r="A309" s="22" t="s">
        <v>937</v>
      </c>
      <c r="B309" s="27" t="s">
        <v>938</v>
      </c>
      <c r="C309" s="22"/>
      <c r="D309" s="22"/>
    </row>
    <row r="310" spans="1:4" hidden="1" x14ac:dyDescent="0.25">
      <c r="A310" s="22" t="s">
        <v>939</v>
      </c>
      <c r="B310" s="27" t="s">
        <v>940</v>
      </c>
      <c r="C310" s="22"/>
      <c r="D310" s="22"/>
    </row>
    <row r="311" spans="1:4" hidden="1" x14ac:dyDescent="0.25">
      <c r="A311" s="22" t="s">
        <v>941</v>
      </c>
      <c r="B311" s="27" t="s">
        <v>942</v>
      </c>
      <c r="C311" s="22"/>
      <c r="D311" s="22"/>
    </row>
    <row r="312" spans="1:4" hidden="1" x14ac:dyDescent="0.25">
      <c r="A312" s="22" t="s">
        <v>943</v>
      </c>
      <c r="B312" s="27" t="s">
        <v>944</v>
      </c>
      <c r="C312" s="22"/>
      <c r="D312" s="22"/>
    </row>
    <row r="313" spans="1:4" hidden="1" x14ac:dyDescent="0.25">
      <c r="A313" s="22" t="s">
        <v>945</v>
      </c>
      <c r="B313" s="27" t="s">
        <v>946</v>
      </c>
      <c r="C313" s="22"/>
      <c r="D313" s="22"/>
    </row>
    <row r="314" spans="1:4" hidden="1" x14ac:dyDescent="0.25">
      <c r="A314" s="22" t="s">
        <v>947</v>
      </c>
      <c r="B314" s="27" t="s">
        <v>948</v>
      </c>
      <c r="C314" s="22"/>
      <c r="D314" s="22"/>
    </row>
    <row r="315" spans="1:4" hidden="1" x14ac:dyDescent="0.25">
      <c r="A315" s="22" t="s">
        <v>949</v>
      </c>
      <c r="B315" s="27" t="s">
        <v>950</v>
      </c>
      <c r="C315" s="22"/>
      <c r="D315" s="22"/>
    </row>
    <row r="316" spans="1:4" hidden="1" x14ac:dyDescent="0.25">
      <c r="A316" s="22" t="s">
        <v>951</v>
      </c>
      <c r="B316" s="27" t="s">
        <v>952</v>
      </c>
      <c r="C316" s="22"/>
      <c r="D316" s="22"/>
    </row>
    <row r="317" spans="1:4" hidden="1" x14ac:dyDescent="0.25">
      <c r="A317" s="22" t="s">
        <v>953</v>
      </c>
      <c r="B317" s="27" t="s">
        <v>954</v>
      </c>
      <c r="C317" s="22"/>
      <c r="D317" s="22"/>
    </row>
    <row r="318" spans="1:4" hidden="1" x14ac:dyDescent="0.25">
      <c r="A318" s="22" t="s">
        <v>955</v>
      </c>
      <c r="B318" s="27" t="s">
        <v>956</v>
      </c>
      <c r="C318" s="22"/>
      <c r="D318" s="22"/>
    </row>
    <row r="319" spans="1:4" hidden="1" x14ac:dyDescent="0.25">
      <c r="A319" s="22" t="s">
        <v>957</v>
      </c>
      <c r="B319" s="27" t="s">
        <v>958</v>
      </c>
      <c r="C319" s="22"/>
      <c r="D319" s="22"/>
    </row>
    <row r="320" spans="1:4" hidden="1" x14ac:dyDescent="0.25">
      <c r="A320" s="22" t="s">
        <v>959</v>
      </c>
      <c r="B320" s="27" t="s">
        <v>960</v>
      </c>
      <c r="C320" s="22"/>
      <c r="D320" s="22"/>
    </row>
    <row r="321" spans="1:4" hidden="1" x14ac:dyDescent="0.25">
      <c r="A321" s="22" t="s">
        <v>961</v>
      </c>
      <c r="B321" s="27" t="s">
        <v>962</v>
      </c>
      <c r="C321" s="22"/>
      <c r="D321" s="22"/>
    </row>
    <row r="322" spans="1:4" hidden="1" x14ac:dyDescent="0.25">
      <c r="A322" s="22" t="s">
        <v>963</v>
      </c>
      <c r="B322" s="27" t="s">
        <v>964</v>
      </c>
      <c r="C322" s="22"/>
      <c r="D322" s="22"/>
    </row>
    <row r="323" spans="1:4" hidden="1" x14ac:dyDescent="0.25">
      <c r="A323" s="22" t="s">
        <v>965</v>
      </c>
      <c r="B323" s="27" t="s">
        <v>966</v>
      </c>
      <c r="C323" s="22"/>
      <c r="D323" s="22"/>
    </row>
    <row r="324" spans="1:4" hidden="1" x14ac:dyDescent="0.25">
      <c r="A324" s="22" t="s">
        <v>967</v>
      </c>
      <c r="B324" s="27" t="s">
        <v>968</v>
      </c>
      <c r="C324" s="22"/>
      <c r="D324" s="22"/>
    </row>
    <row r="325" spans="1:4" hidden="1" x14ac:dyDescent="0.25">
      <c r="A325" s="22" t="s">
        <v>969</v>
      </c>
      <c r="B325" s="27" t="s">
        <v>970</v>
      </c>
      <c r="C325" s="22"/>
      <c r="D325" s="22"/>
    </row>
    <row r="326" spans="1:4" hidden="1" x14ac:dyDescent="0.25">
      <c r="A326" s="22" t="s">
        <v>971</v>
      </c>
      <c r="B326" s="27" t="s">
        <v>972</v>
      </c>
      <c r="C326" s="22"/>
      <c r="D326" s="22"/>
    </row>
    <row r="327" spans="1:4" hidden="1" x14ac:dyDescent="0.25">
      <c r="A327" s="22" t="s">
        <v>973</v>
      </c>
      <c r="B327" s="27" t="s">
        <v>974</v>
      </c>
      <c r="C327" s="22"/>
      <c r="D327" s="22"/>
    </row>
    <row r="328" spans="1:4" hidden="1" x14ac:dyDescent="0.25">
      <c r="A328" s="22" t="s">
        <v>975</v>
      </c>
      <c r="B328" s="27" t="s">
        <v>976</v>
      </c>
      <c r="C328" s="22"/>
      <c r="D328" s="22"/>
    </row>
    <row r="329" spans="1:4" hidden="1" x14ac:dyDescent="0.25">
      <c r="A329" s="22" t="s">
        <v>977</v>
      </c>
      <c r="B329" s="27" t="s">
        <v>978</v>
      </c>
      <c r="C329" s="22"/>
      <c r="D329" s="22"/>
    </row>
    <row r="330" spans="1:4" hidden="1" x14ac:dyDescent="0.25">
      <c r="A330" s="22" t="s">
        <v>979</v>
      </c>
      <c r="B330" s="27" t="s">
        <v>980</v>
      </c>
      <c r="C330" s="22"/>
      <c r="D330" s="22"/>
    </row>
    <row r="331" spans="1:4" hidden="1" x14ac:dyDescent="0.25">
      <c r="A331" s="22" t="s">
        <v>981</v>
      </c>
      <c r="B331" s="27" t="s">
        <v>982</v>
      </c>
      <c r="C331" s="22"/>
      <c r="D331" s="22"/>
    </row>
    <row r="332" spans="1:4" hidden="1" x14ac:dyDescent="0.25">
      <c r="A332" s="22" t="s">
        <v>983</v>
      </c>
      <c r="B332" s="27" t="s">
        <v>984</v>
      </c>
      <c r="C332" s="22"/>
      <c r="D332" s="22"/>
    </row>
    <row r="333" spans="1:4" hidden="1" x14ac:dyDescent="0.25">
      <c r="A333" s="22" t="s">
        <v>985</v>
      </c>
      <c r="B333" s="27" t="s">
        <v>986</v>
      </c>
      <c r="C333" s="22"/>
      <c r="D333" s="22"/>
    </row>
    <row r="334" spans="1:4" hidden="1" x14ac:dyDescent="0.25">
      <c r="A334" s="22" t="s">
        <v>987</v>
      </c>
      <c r="B334" s="27" t="s">
        <v>988</v>
      </c>
      <c r="C334" s="22"/>
      <c r="D334" s="22"/>
    </row>
    <row r="335" spans="1:4" hidden="1" x14ac:dyDescent="0.25">
      <c r="A335" s="22" t="s">
        <v>989</v>
      </c>
      <c r="B335" s="27" t="s">
        <v>990</v>
      </c>
      <c r="C335" s="22"/>
      <c r="D335" s="22"/>
    </row>
    <row r="336" spans="1:4" hidden="1" x14ac:dyDescent="0.25">
      <c r="A336" s="22" t="s">
        <v>277</v>
      </c>
      <c r="B336" s="27" t="s">
        <v>991</v>
      </c>
      <c r="C336" s="22"/>
      <c r="D336" s="22"/>
    </row>
    <row r="337" spans="1:4" hidden="1" x14ac:dyDescent="0.25">
      <c r="A337" s="22" t="s">
        <v>992</v>
      </c>
      <c r="B337" s="27" t="s">
        <v>993</v>
      </c>
      <c r="C337" s="22"/>
      <c r="D337" s="22"/>
    </row>
    <row r="338" spans="1:4" hidden="1" x14ac:dyDescent="0.25">
      <c r="A338" s="22" t="s">
        <v>994</v>
      </c>
      <c r="B338" s="27" t="s">
        <v>995</v>
      </c>
      <c r="C338" s="22"/>
      <c r="D338" s="22"/>
    </row>
    <row r="339" spans="1:4" hidden="1" x14ac:dyDescent="0.25">
      <c r="A339" s="22" t="s">
        <v>996</v>
      </c>
      <c r="B339" s="27" t="s">
        <v>997</v>
      </c>
      <c r="C339" s="22"/>
      <c r="D339" s="22"/>
    </row>
    <row r="340" spans="1:4" hidden="1" x14ac:dyDescent="0.25">
      <c r="A340" s="22" t="s">
        <v>998</v>
      </c>
      <c r="B340" s="27" t="s">
        <v>999</v>
      </c>
      <c r="C340" s="22"/>
      <c r="D340" s="22"/>
    </row>
    <row r="341" spans="1:4" hidden="1" x14ac:dyDescent="0.25">
      <c r="A341" s="22" t="s">
        <v>1000</v>
      </c>
      <c r="B341" s="27" t="s">
        <v>1001</v>
      </c>
      <c r="C341" s="22"/>
      <c r="D341" s="22"/>
    </row>
    <row r="342" spans="1:4" hidden="1" x14ac:dyDescent="0.25">
      <c r="A342" s="22" t="s">
        <v>1002</v>
      </c>
      <c r="B342" s="27" t="s">
        <v>1003</v>
      </c>
      <c r="C342" s="22"/>
      <c r="D342" s="22"/>
    </row>
    <row r="343" spans="1:4" hidden="1" x14ac:dyDescent="0.25">
      <c r="A343" s="22" t="s">
        <v>1004</v>
      </c>
      <c r="B343" s="27" t="s">
        <v>1005</v>
      </c>
      <c r="C343" s="22"/>
      <c r="D343" s="22"/>
    </row>
    <row r="344" spans="1:4" hidden="1" x14ac:dyDescent="0.25">
      <c r="A344" s="22" t="s">
        <v>1006</v>
      </c>
      <c r="B344" s="27" t="s">
        <v>1007</v>
      </c>
      <c r="C344" s="22"/>
      <c r="D344" s="22"/>
    </row>
    <row r="345" spans="1:4" hidden="1" x14ac:dyDescent="0.25">
      <c r="A345" s="22" t="s">
        <v>1008</v>
      </c>
      <c r="B345" s="27" t="s">
        <v>1009</v>
      </c>
      <c r="C345" s="22"/>
      <c r="D345" s="22"/>
    </row>
    <row r="346" spans="1:4" hidden="1" x14ac:dyDescent="0.25">
      <c r="A346" s="22" t="s">
        <v>1010</v>
      </c>
      <c r="B346" s="27" t="s">
        <v>1011</v>
      </c>
      <c r="C346" s="22"/>
      <c r="D346" s="22"/>
    </row>
    <row r="347" spans="1:4" hidden="1" x14ac:dyDescent="0.25">
      <c r="A347" s="22" t="s">
        <v>1012</v>
      </c>
      <c r="B347" s="27" t="s">
        <v>1013</v>
      </c>
      <c r="C347" s="22"/>
      <c r="D347" s="22"/>
    </row>
    <row r="348" spans="1:4" hidden="1" x14ac:dyDescent="0.25">
      <c r="A348" s="22" t="s">
        <v>1014</v>
      </c>
      <c r="B348" s="27" t="s">
        <v>1015</v>
      </c>
      <c r="C348" s="22"/>
      <c r="D348" s="22"/>
    </row>
    <row r="349" spans="1:4" hidden="1" x14ac:dyDescent="0.25">
      <c r="A349" s="22" t="s">
        <v>1016</v>
      </c>
      <c r="B349" s="27" t="s">
        <v>1017</v>
      </c>
      <c r="C349" s="22"/>
      <c r="D349" s="22"/>
    </row>
    <row r="350" spans="1:4" hidden="1" x14ac:dyDescent="0.25">
      <c r="A350" s="22" t="s">
        <v>1018</v>
      </c>
      <c r="B350" s="27" t="s">
        <v>1019</v>
      </c>
      <c r="C350" s="22"/>
      <c r="D350" s="22"/>
    </row>
    <row r="351" spans="1:4" hidden="1" x14ac:dyDescent="0.25">
      <c r="A351" s="22" t="s">
        <v>1020</v>
      </c>
      <c r="B351" s="27" t="s">
        <v>1021</v>
      </c>
      <c r="C351" s="22"/>
      <c r="D351" s="22"/>
    </row>
    <row r="352" spans="1:4" hidden="1" x14ac:dyDescent="0.25">
      <c r="A352" s="22" t="s">
        <v>1022</v>
      </c>
      <c r="B352" s="27" t="s">
        <v>1023</v>
      </c>
      <c r="C352" s="22"/>
      <c r="D352" s="22"/>
    </row>
    <row r="353" spans="1:4" hidden="1" x14ac:dyDescent="0.25">
      <c r="A353" s="22" t="s">
        <v>1024</v>
      </c>
      <c r="B353" s="27" t="s">
        <v>1025</v>
      </c>
      <c r="C353" s="22"/>
      <c r="D353" s="22"/>
    </row>
    <row r="354" spans="1:4" hidden="1" x14ac:dyDescent="0.25">
      <c r="A354" s="22" t="s">
        <v>1026</v>
      </c>
      <c r="B354" s="27" t="s">
        <v>1027</v>
      </c>
      <c r="C354" s="22"/>
      <c r="D354" s="22"/>
    </row>
    <row r="355" spans="1:4" hidden="1" x14ac:dyDescent="0.25">
      <c r="A355" s="22" t="s">
        <v>1028</v>
      </c>
      <c r="B355" s="27" t="s">
        <v>1029</v>
      </c>
      <c r="C355" s="22"/>
      <c r="D355" s="22"/>
    </row>
    <row r="356" spans="1:4" hidden="1" x14ac:dyDescent="0.25">
      <c r="A356" s="22" t="s">
        <v>1030</v>
      </c>
      <c r="B356" s="27" t="s">
        <v>1031</v>
      </c>
      <c r="C356" s="22"/>
      <c r="D356" s="22"/>
    </row>
    <row r="357" spans="1:4" hidden="1" x14ac:dyDescent="0.25">
      <c r="A357" s="22" t="s">
        <v>1032</v>
      </c>
      <c r="B357" s="27" t="s">
        <v>1033</v>
      </c>
      <c r="C357" s="22"/>
      <c r="D357" s="22"/>
    </row>
    <row r="358" spans="1:4" hidden="1" x14ac:dyDescent="0.25">
      <c r="A358" s="22" t="s">
        <v>1034</v>
      </c>
      <c r="B358" s="27" t="s">
        <v>1035</v>
      </c>
      <c r="C358" s="22"/>
      <c r="D358" s="22"/>
    </row>
    <row r="359" spans="1:4" hidden="1" x14ac:dyDescent="0.25">
      <c r="A359" s="22" t="s">
        <v>1036</v>
      </c>
      <c r="B359" s="27" t="s">
        <v>1037</v>
      </c>
      <c r="C359" s="22"/>
      <c r="D359" s="22"/>
    </row>
    <row r="360" spans="1:4" hidden="1" x14ac:dyDescent="0.25">
      <c r="A360" s="22" t="s">
        <v>1038</v>
      </c>
      <c r="B360" s="27" t="s">
        <v>1039</v>
      </c>
      <c r="C360" s="22"/>
      <c r="D360" s="22"/>
    </row>
    <row r="361" spans="1:4" hidden="1" x14ac:dyDescent="0.25">
      <c r="A361" s="22" t="s">
        <v>1040</v>
      </c>
      <c r="B361" s="27" t="s">
        <v>1041</v>
      </c>
      <c r="C361" s="22"/>
      <c r="D361" s="22"/>
    </row>
    <row r="362" spans="1:4" hidden="1" x14ac:dyDescent="0.25">
      <c r="A362" s="22" t="s">
        <v>1042</v>
      </c>
      <c r="B362" s="27" t="s">
        <v>1043</v>
      </c>
      <c r="C362" s="22"/>
      <c r="D362" s="22"/>
    </row>
    <row r="363" spans="1:4" hidden="1" x14ac:dyDescent="0.25">
      <c r="A363" s="22" t="s">
        <v>1044</v>
      </c>
      <c r="B363" s="27" t="s">
        <v>1045</v>
      </c>
      <c r="C363" s="22"/>
      <c r="D363" s="22"/>
    </row>
    <row r="364" spans="1:4" hidden="1" x14ac:dyDescent="0.25">
      <c r="A364" s="2" t="s">
        <v>42</v>
      </c>
      <c r="B364" s="3" t="s">
        <v>41</v>
      </c>
      <c r="C364" s="22"/>
      <c r="D364" s="22"/>
    </row>
    <row r="365" spans="1:4" hidden="1" x14ac:dyDescent="0.25">
      <c r="A365" s="22" t="s">
        <v>1046</v>
      </c>
      <c r="B365" s="27" t="s">
        <v>1047</v>
      </c>
      <c r="C365" s="22"/>
      <c r="D365" s="22"/>
    </row>
    <row r="366" spans="1:4" hidden="1" x14ac:dyDescent="0.25">
      <c r="A366" s="22" t="s">
        <v>1048</v>
      </c>
      <c r="B366" s="27" t="s">
        <v>1049</v>
      </c>
      <c r="C366" s="22"/>
      <c r="D366" s="22"/>
    </row>
    <row r="367" spans="1:4" hidden="1" x14ac:dyDescent="0.25">
      <c r="A367" s="22" t="s">
        <v>1050</v>
      </c>
      <c r="B367" s="27" t="s">
        <v>1051</v>
      </c>
      <c r="C367" s="22"/>
      <c r="D367" s="22"/>
    </row>
    <row r="368" spans="1:4" hidden="1" x14ac:dyDescent="0.25">
      <c r="A368" s="22" t="s">
        <v>1052</v>
      </c>
      <c r="B368" s="27" t="s">
        <v>1053</v>
      </c>
      <c r="C368" s="22"/>
      <c r="D368" s="22"/>
    </row>
    <row r="369" spans="1:4" hidden="1" x14ac:dyDescent="0.25">
      <c r="A369" s="22" t="s">
        <v>1054</v>
      </c>
      <c r="B369" s="27" t="s">
        <v>1055</v>
      </c>
      <c r="C369" s="22"/>
      <c r="D369" s="22"/>
    </row>
    <row r="370" spans="1:4" hidden="1" x14ac:dyDescent="0.25">
      <c r="A370" s="22" t="s">
        <v>1056</v>
      </c>
      <c r="B370" s="27" t="s">
        <v>1057</v>
      </c>
      <c r="C370" s="22"/>
      <c r="D370" s="22"/>
    </row>
    <row r="371" spans="1:4" hidden="1" x14ac:dyDescent="0.25">
      <c r="A371" s="22" t="s">
        <v>1058</v>
      </c>
      <c r="B371" s="27" t="s">
        <v>1059</v>
      </c>
      <c r="C371" s="22"/>
      <c r="D371" s="22"/>
    </row>
    <row r="372" spans="1:4" hidden="1" x14ac:dyDescent="0.25">
      <c r="A372" s="22" t="s">
        <v>1060</v>
      </c>
      <c r="B372" s="27" t="s">
        <v>1061</v>
      </c>
      <c r="C372" s="22"/>
      <c r="D372" s="22"/>
    </row>
    <row r="373" spans="1:4" hidden="1" x14ac:dyDescent="0.25">
      <c r="A373" s="22" t="s">
        <v>1062</v>
      </c>
      <c r="B373" s="27" t="s">
        <v>1063</v>
      </c>
      <c r="C373" s="22"/>
      <c r="D373" s="22"/>
    </row>
    <row r="374" spans="1:4" hidden="1" x14ac:dyDescent="0.25">
      <c r="A374" s="22" t="s">
        <v>1064</v>
      </c>
      <c r="B374" s="27" t="s">
        <v>1065</v>
      </c>
      <c r="C374" s="22"/>
      <c r="D374" s="22"/>
    </row>
    <row r="375" spans="1:4" hidden="1" x14ac:dyDescent="0.25">
      <c r="A375" s="22" t="s">
        <v>1066</v>
      </c>
      <c r="B375" s="27" t="s">
        <v>1067</v>
      </c>
      <c r="C375" s="22"/>
      <c r="D375" s="22"/>
    </row>
    <row r="376" spans="1:4" hidden="1" x14ac:dyDescent="0.25">
      <c r="A376" s="22" t="s">
        <v>1068</v>
      </c>
      <c r="B376" s="27" t="s">
        <v>1069</v>
      </c>
      <c r="C376" s="22"/>
      <c r="D376" s="22"/>
    </row>
    <row r="377" spans="1:4" hidden="1" x14ac:dyDescent="0.25">
      <c r="A377" s="2" t="s">
        <v>300</v>
      </c>
      <c r="B377" s="3" t="s">
        <v>317</v>
      </c>
      <c r="C377" s="22"/>
      <c r="D377" s="22"/>
    </row>
    <row r="378" spans="1:4" hidden="1" x14ac:dyDescent="0.25">
      <c r="A378" s="22" t="s">
        <v>1070</v>
      </c>
      <c r="B378" s="27" t="s">
        <v>1071</v>
      </c>
      <c r="C378" s="22"/>
      <c r="D378" s="22"/>
    </row>
    <row r="379" spans="1:4" hidden="1" x14ac:dyDescent="0.25">
      <c r="A379" s="22" t="s">
        <v>1072</v>
      </c>
      <c r="B379" s="27" t="s">
        <v>1073</v>
      </c>
      <c r="C379" s="22"/>
      <c r="D379" s="22"/>
    </row>
    <row r="380" spans="1:4" hidden="1" x14ac:dyDescent="0.25">
      <c r="A380" s="22" t="s">
        <v>1074</v>
      </c>
      <c r="B380" s="27" t="s">
        <v>1075</v>
      </c>
      <c r="C380" s="22"/>
      <c r="D380" s="22"/>
    </row>
    <row r="381" spans="1:4" hidden="1" x14ac:dyDescent="0.25">
      <c r="A381" s="22" t="s">
        <v>1076</v>
      </c>
      <c r="B381" s="27" t="s">
        <v>1077</v>
      </c>
      <c r="C381" s="22"/>
      <c r="D381" s="22"/>
    </row>
    <row r="382" spans="1:4" hidden="1" x14ac:dyDescent="0.25">
      <c r="A382" s="22" t="s">
        <v>1078</v>
      </c>
      <c r="B382" s="27" t="s">
        <v>1079</v>
      </c>
      <c r="C382" s="22"/>
      <c r="D382" s="22"/>
    </row>
    <row r="383" spans="1:4" hidden="1" x14ac:dyDescent="0.25">
      <c r="A383" s="22" t="s">
        <v>1080</v>
      </c>
      <c r="B383" s="27" t="s">
        <v>1081</v>
      </c>
      <c r="C383" s="22"/>
      <c r="D383" s="22"/>
    </row>
    <row r="384" spans="1:4" hidden="1" x14ac:dyDescent="0.25">
      <c r="A384" s="22" t="s">
        <v>1082</v>
      </c>
      <c r="B384" s="27" t="s">
        <v>1083</v>
      </c>
      <c r="C384" s="22"/>
      <c r="D384" s="22"/>
    </row>
    <row r="385" spans="1:4" hidden="1" x14ac:dyDescent="0.25">
      <c r="A385" s="22" t="s">
        <v>1084</v>
      </c>
      <c r="B385" s="27" t="s">
        <v>1085</v>
      </c>
      <c r="C385" s="22"/>
      <c r="D385" s="22"/>
    </row>
    <row r="386" spans="1:4" hidden="1" x14ac:dyDescent="0.25">
      <c r="A386" s="22" t="s">
        <v>1086</v>
      </c>
      <c r="B386" s="27" t="s">
        <v>1087</v>
      </c>
      <c r="C386" s="22"/>
      <c r="D386" s="22"/>
    </row>
    <row r="387" spans="1:4" hidden="1" x14ac:dyDescent="0.25">
      <c r="A387" s="22" t="s">
        <v>1088</v>
      </c>
      <c r="B387" s="27" t="s">
        <v>1089</v>
      </c>
      <c r="C387" s="22"/>
      <c r="D387" s="22"/>
    </row>
    <row r="388" spans="1:4" hidden="1" x14ac:dyDescent="0.25">
      <c r="A388" s="22" t="s">
        <v>1090</v>
      </c>
      <c r="B388" s="27" t="s">
        <v>1091</v>
      </c>
      <c r="C388" s="22"/>
      <c r="D388" s="22"/>
    </row>
    <row r="389" spans="1:4" hidden="1" x14ac:dyDescent="0.25">
      <c r="A389" s="22" t="s">
        <v>1092</v>
      </c>
      <c r="B389" s="27" t="s">
        <v>1093</v>
      </c>
      <c r="C389" s="22"/>
      <c r="D389" s="22"/>
    </row>
    <row r="390" spans="1:4" hidden="1" x14ac:dyDescent="0.25">
      <c r="A390" s="22" t="s">
        <v>1094</v>
      </c>
      <c r="B390" s="27" t="s">
        <v>1095</v>
      </c>
      <c r="C390" s="22"/>
      <c r="D390" s="22"/>
    </row>
    <row r="391" spans="1:4" hidden="1" x14ac:dyDescent="0.25">
      <c r="A391" s="22" t="s">
        <v>1096</v>
      </c>
      <c r="B391" s="27" t="s">
        <v>1097</v>
      </c>
      <c r="C391" s="22"/>
      <c r="D391" s="22"/>
    </row>
    <row r="392" spans="1:4" hidden="1" x14ac:dyDescent="0.25">
      <c r="A392" s="22" t="s">
        <v>1098</v>
      </c>
      <c r="B392" s="27" t="s">
        <v>1099</v>
      </c>
      <c r="C392" s="22"/>
      <c r="D392" s="22"/>
    </row>
    <row r="393" spans="1:4" hidden="1" x14ac:dyDescent="0.25">
      <c r="A393" s="22" t="s">
        <v>1100</v>
      </c>
      <c r="B393" s="27" t="s">
        <v>1101</v>
      </c>
      <c r="C393" s="22"/>
      <c r="D393" s="22"/>
    </row>
    <row r="394" spans="1:4" hidden="1" x14ac:dyDescent="0.25">
      <c r="A394" s="22" t="s">
        <v>1102</v>
      </c>
      <c r="B394" s="27" t="s">
        <v>1103</v>
      </c>
      <c r="C394" s="22"/>
      <c r="D394" s="22"/>
    </row>
    <row r="395" spans="1:4" hidden="1" x14ac:dyDescent="0.25">
      <c r="A395" s="22" t="s">
        <v>1104</v>
      </c>
      <c r="B395" s="27" t="s">
        <v>1105</v>
      </c>
      <c r="C395" s="22"/>
      <c r="D395" s="22"/>
    </row>
    <row r="396" spans="1:4" hidden="1" x14ac:dyDescent="0.25">
      <c r="A396" s="22" t="s">
        <v>1106</v>
      </c>
      <c r="B396" s="27" t="s">
        <v>1107</v>
      </c>
      <c r="C396" s="22"/>
      <c r="D396" s="22"/>
    </row>
    <row r="397" spans="1:4" hidden="1" x14ac:dyDescent="0.25">
      <c r="A397" s="22" t="s">
        <v>1108</v>
      </c>
      <c r="B397" s="27" t="s">
        <v>1109</v>
      </c>
      <c r="C397" s="22"/>
      <c r="D397" s="22"/>
    </row>
    <row r="398" spans="1:4" hidden="1" x14ac:dyDescent="0.25">
      <c r="A398" s="22" t="s">
        <v>1110</v>
      </c>
      <c r="B398" s="27" t="s">
        <v>1111</v>
      </c>
      <c r="C398" s="22"/>
      <c r="D398" s="22"/>
    </row>
    <row r="399" spans="1:4" hidden="1" x14ac:dyDescent="0.25">
      <c r="A399" s="22" t="s">
        <v>1112</v>
      </c>
      <c r="B399" s="27" t="s">
        <v>1113</v>
      </c>
      <c r="C399" s="22"/>
      <c r="D399" s="22"/>
    </row>
    <row r="400" spans="1:4" hidden="1" x14ac:dyDescent="0.25">
      <c r="A400" s="22" t="s">
        <v>1114</v>
      </c>
      <c r="B400" s="27" t="s">
        <v>1115</v>
      </c>
      <c r="C400" s="22"/>
      <c r="D400" s="22"/>
    </row>
    <row r="401" spans="1:4" hidden="1" x14ac:dyDescent="0.25">
      <c r="A401" s="22" t="s">
        <v>1116</v>
      </c>
      <c r="B401" s="27" t="s">
        <v>1117</v>
      </c>
      <c r="C401" s="22"/>
      <c r="D401" s="22"/>
    </row>
    <row r="402" spans="1:4" hidden="1" x14ac:dyDescent="0.25">
      <c r="A402" s="22" t="s">
        <v>1118</v>
      </c>
      <c r="B402" s="27" t="s">
        <v>1119</v>
      </c>
      <c r="C402" s="22"/>
      <c r="D402" s="22"/>
    </row>
    <row r="403" spans="1:4" hidden="1" x14ac:dyDescent="0.25">
      <c r="A403" s="22" t="s">
        <v>1120</v>
      </c>
      <c r="B403" s="27" t="s">
        <v>1121</v>
      </c>
      <c r="C403" s="22"/>
      <c r="D403" s="22"/>
    </row>
    <row r="404" spans="1:4" hidden="1" x14ac:dyDescent="0.25">
      <c r="A404" s="22" t="s">
        <v>1122</v>
      </c>
      <c r="B404" s="27" t="s">
        <v>1123</v>
      </c>
      <c r="C404" s="22"/>
      <c r="D404" s="22"/>
    </row>
    <row r="405" spans="1:4" hidden="1" x14ac:dyDescent="0.25">
      <c r="A405" s="2" t="s">
        <v>1124</v>
      </c>
      <c r="B405" s="3" t="s">
        <v>1125</v>
      </c>
      <c r="C405" s="22"/>
      <c r="D405" s="22"/>
    </row>
    <row r="406" spans="1:4" hidden="1" x14ac:dyDescent="0.25">
      <c r="A406" s="2" t="s">
        <v>103</v>
      </c>
      <c r="B406" s="3" t="s">
        <v>14</v>
      </c>
      <c r="C406" s="22"/>
      <c r="D406" s="22"/>
    </row>
    <row r="407" spans="1:4" hidden="1" x14ac:dyDescent="0.25">
      <c r="A407" s="22" t="s">
        <v>1126</v>
      </c>
      <c r="B407" s="27" t="s">
        <v>1127</v>
      </c>
      <c r="C407" s="22"/>
      <c r="D407" s="22"/>
    </row>
    <row r="408" spans="1:4" hidden="1" x14ac:dyDescent="0.25">
      <c r="A408" s="22" t="s">
        <v>1128</v>
      </c>
      <c r="B408" s="27" t="s">
        <v>1129</v>
      </c>
      <c r="C408" s="22"/>
      <c r="D408" s="22"/>
    </row>
    <row r="409" spans="1:4" hidden="1" x14ac:dyDescent="0.25">
      <c r="A409" s="22" t="s">
        <v>1130</v>
      </c>
      <c r="B409" s="27" t="s">
        <v>1131</v>
      </c>
      <c r="C409" s="22"/>
      <c r="D409" s="22"/>
    </row>
    <row r="410" spans="1:4" hidden="1" x14ac:dyDescent="0.25">
      <c r="A410" s="22" t="s">
        <v>1132</v>
      </c>
      <c r="B410" s="27" t="s">
        <v>1133</v>
      </c>
      <c r="C410" s="22"/>
      <c r="D410" s="22"/>
    </row>
    <row r="411" spans="1:4" hidden="1" x14ac:dyDescent="0.25">
      <c r="A411" s="22" t="s">
        <v>1134</v>
      </c>
      <c r="B411" s="27" t="s">
        <v>1135</v>
      </c>
      <c r="C411" s="22"/>
      <c r="D411" s="22"/>
    </row>
    <row r="412" spans="1:4" hidden="1" x14ac:dyDescent="0.25">
      <c r="A412" s="22" t="s">
        <v>1136</v>
      </c>
      <c r="B412" s="27" t="s">
        <v>1137</v>
      </c>
      <c r="C412" s="22"/>
      <c r="D412" s="22"/>
    </row>
    <row r="413" spans="1:4" hidden="1" x14ac:dyDescent="0.25">
      <c r="A413" s="22" t="s">
        <v>1138</v>
      </c>
      <c r="B413" s="27" t="s">
        <v>1139</v>
      </c>
      <c r="C413" s="22"/>
      <c r="D413" s="22"/>
    </row>
    <row r="414" spans="1:4" hidden="1" x14ac:dyDescent="0.25">
      <c r="A414" s="22" t="s">
        <v>1140</v>
      </c>
      <c r="B414" s="27" t="s">
        <v>1141</v>
      </c>
      <c r="C414" s="22"/>
      <c r="D414" s="22"/>
    </row>
    <row r="415" spans="1:4" hidden="1" x14ac:dyDescent="0.25">
      <c r="A415" s="22" t="s">
        <v>1142</v>
      </c>
      <c r="B415" s="27" t="s">
        <v>1143</v>
      </c>
      <c r="C415" s="22"/>
      <c r="D415" s="22"/>
    </row>
    <row r="416" spans="1:4" hidden="1" x14ac:dyDescent="0.25">
      <c r="A416" s="22" t="s">
        <v>1144</v>
      </c>
      <c r="B416" s="27" t="s">
        <v>1145</v>
      </c>
      <c r="C416" s="22"/>
      <c r="D416" s="22"/>
    </row>
    <row r="417" spans="1:4" hidden="1" x14ac:dyDescent="0.25">
      <c r="A417" s="22" t="s">
        <v>1146</v>
      </c>
      <c r="B417" s="27" t="s">
        <v>1147</v>
      </c>
      <c r="C417" s="22"/>
      <c r="D417" s="22"/>
    </row>
    <row r="418" spans="1:4" hidden="1" x14ac:dyDescent="0.25">
      <c r="A418" s="22" t="s">
        <v>1148</v>
      </c>
      <c r="B418" s="27" t="s">
        <v>1149</v>
      </c>
      <c r="C418" s="22"/>
      <c r="D418" s="22"/>
    </row>
    <row r="419" spans="1:4" hidden="1" x14ac:dyDescent="0.25">
      <c r="A419" s="22" t="s">
        <v>1150</v>
      </c>
      <c r="B419" s="27" t="s">
        <v>1151</v>
      </c>
      <c r="C419" s="22"/>
      <c r="D419" s="22"/>
    </row>
    <row r="420" spans="1:4" hidden="1" x14ac:dyDescent="0.25">
      <c r="A420" s="22" t="s">
        <v>1152</v>
      </c>
      <c r="B420" s="27" t="s">
        <v>1153</v>
      </c>
      <c r="C420" s="22"/>
      <c r="D420" s="22"/>
    </row>
    <row r="421" spans="1:4" hidden="1" x14ac:dyDescent="0.25">
      <c r="A421" s="22" t="s">
        <v>1154</v>
      </c>
      <c r="B421" s="27" t="s">
        <v>1155</v>
      </c>
      <c r="C421" s="22"/>
      <c r="D421" s="22"/>
    </row>
    <row r="422" spans="1:4" hidden="1" x14ac:dyDescent="0.25">
      <c r="A422" s="22" t="s">
        <v>1156</v>
      </c>
      <c r="B422" s="27" t="s">
        <v>1157</v>
      </c>
      <c r="C422" s="22"/>
      <c r="D422" s="22"/>
    </row>
    <row r="423" spans="1:4" hidden="1" x14ac:dyDescent="0.25">
      <c r="A423" s="22" t="s">
        <v>1158</v>
      </c>
      <c r="B423" s="27" t="s">
        <v>1159</v>
      </c>
      <c r="C423" s="22"/>
      <c r="D423" s="22"/>
    </row>
    <row r="424" spans="1:4" hidden="1" x14ac:dyDescent="0.25">
      <c r="A424" s="22" t="s">
        <v>1160</v>
      </c>
      <c r="B424" s="27" t="s">
        <v>1161</v>
      </c>
      <c r="C424" s="22"/>
      <c r="D424" s="22"/>
    </row>
    <row r="425" spans="1:4" hidden="1" x14ac:dyDescent="0.25">
      <c r="A425" s="22" t="s">
        <v>1162</v>
      </c>
      <c r="B425" s="27" t="s">
        <v>1163</v>
      </c>
      <c r="C425" s="22"/>
      <c r="D425" s="22"/>
    </row>
    <row r="426" spans="1:4" hidden="1" x14ac:dyDescent="0.25">
      <c r="A426" s="22" t="s">
        <v>1164</v>
      </c>
      <c r="B426" s="27" t="s">
        <v>1165</v>
      </c>
      <c r="C426" s="22"/>
      <c r="D426" s="22"/>
    </row>
    <row r="427" spans="1:4" hidden="1" x14ac:dyDescent="0.25">
      <c r="A427" s="22" t="s">
        <v>1166</v>
      </c>
      <c r="B427" s="27" t="s">
        <v>1167</v>
      </c>
      <c r="C427" s="22"/>
      <c r="D427" s="22"/>
    </row>
    <row r="428" spans="1:4" hidden="1" x14ac:dyDescent="0.25">
      <c r="A428" s="22" t="s">
        <v>1168</v>
      </c>
      <c r="B428" s="27" t="s">
        <v>1169</v>
      </c>
      <c r="C428" s="22"/>
      <c r="D428" s="22"/>
    </row>
    <row r="429" spans="1:4" hidden="1" x14ac:dyDescent="0.25">
      <c r="A429" s="22" t="s">
        <v>1170</v>
      </c>
      <c r="B429" s="27" t="s">
        <v>1171</v>
      </c>
      <c r="C429" s="22"/>
      <c r="D429" s="22"/>
    </row>
    <row r="430" spans="1:4" hidden="1" x14ac:dyDescent="0.25">
      <c r="A430" s="22" t="s">
        <v>1172</v>
      </c>
      <c r="B430" s="27" t="s">
        <v>1173</v>
      </c>
      <c r="C430" s="22"/>
      <c r="D430" s="22"/>
    </row>
    <row r="431" spans="1:4" hidden="1" x14ac:dyDescent="0.25">
      <c r="A431" s="22" t="s">
        <v>1174</v>
      </c>
      <c r="B431" s="27" t="s">
        <v>1175</v>
      </c>
      <c r="C431" s="22"/>
      <c r="D431" s="22"/>
    </row>
    <row r="432" spans="1:4" hidden="1" x14ac:dyDescent="0.25">
      <c r="A432" s="22" t="s">
        <v>1176</v>
      </c>
      <c r="B432" s="27" t="s">
        <v>1177</v>
      </c>
      <c r="C432" s="22"/>
      <c r="D432" s="22"/>
    </row>
    <row r="433" spans="1:4" hidden="1" x14ac:dyDescent="0.25">
      <c r="A433" s="22" t="s">
        <v>1178</v>
      </c>
      <c r="B433" s="27" t="s">
        <v>1179</v>
      </c>
      <c r="C433" s="22"/>
      <c r="D433" s="22"/>
    </row>
    <row r="434" spans="1:4" hidden="1" x14ac:dyDescent="0.25">
      <c r="A434" s="22" t="s">
        <v>1180</v>
      </c>
      <c r="B434" s="27" t="s">
        <v>1181</v>
      </c>
      <c r="C434" s="22"/>
      <c r="D434" s="22"/>
    </row>
    <row r="435" spans="1:4" hidden="1" x14ac:dyDescent="0.25">
      <c r="A435" s="22" t="s">
        <v>1182</v>
      </c>
      <c r="B435" s="27" t="s">
        <v>1183</v>
      </c>
      <c r="C435" s="22"/>
      <c r="D435" s="22"/>
    </row>
    <row r="436" spans="1:4" hidden="1" x14ac:dyDescent="0.25">
      <c r="A436" s="22" t="s">
        <v>1184</v>
      </c>
      <c r="B436" s="27" t="s">
        <v>1185</v>
      </c>
      <c r="C436" s="22"/>
      <c r="D436" s="22"/>
    </row>
    <row r="437" spans="1:4" hidden="1" x14ac:dyDescent="0.25">
      <c r="A437" s="22" t="s">
        <v>1186</v>
      </c>
      <c r="B437" s="27" t="s">
        <v>1187</v>
      </c>
      <c r="C437" s="22"/>
      <c r="D437" s="22"/>
    </row>
    <row r="438" spans="1:4" hidden="1" x14ac:dyDescent="0.25">
      <c r="A438" s="22" t="s">
        <v>1188</v>
      </c>
      <c r="B438" s="27" t="s">
        <v>1189</v>
      </c>
      <c r="C438" s="22"/>
      <c r="D438" s="22"/>
    </row>
    <row r="439" spans="1:4" hidden="1" x14ac:dyDescent="0.25">
      <c r="A439" s="22" t="s">
        <v>1190</v>
      </c>
      <c r="B439" s="27" t="s">
        <v>1191</v>
      </c>
      <c r="C439" s="22"/>
      <c r="D439" s="22"/>
    </row>
    <row r="440" spans="1:4" hidden="1" x14ac:dyDescent="0.25">
      <c r="A440" s="22" t="s">
        <v>1192</v>
      </c>
      <c r="B440" s="27" t="s">
        <v>1193</v>
      </c>
      <c r="C440" s="22"/>
      <c r="D440" s="22"/>
    </row>
    <row r="441" spans="1:4" hidden="1" x14ac:dyDescent="0.25">
      <c r="A441" s="22" t="s">
        <v>1194</v>
      </c>
      <c r="B441" s="27" t="s">
        <v>1195</v>
      </c>
      <c r="C441" s="22"/>
      <c r="D441" s="22"/>
    </row>
    <row r="442" spans="1:4" hidden="1" x14ac:dyDescent="0.25">
      <c r="A442" s="22" t="s">
        <v>1196</v>
      </c>
      <c r="B442" s="27" t="s">
        <v>1197</v>
      </c>
      <c r="C442" s="22"/>
      <c r="D442" s="22"/>
    </row>
    <row r="443" spans="1:4" hidden="1" x14ac:dyDescent="0.25">
      <c r="A443" s="22" t="s">
        <v>1198</v>
      </c>
      <c r="B443" s="27" t="s">
        <v>1199</v>
      </c>
      <c r="C443" s="22"/>
      <c r="D443" s="22"/>
    </row>
    <row r="444" spans="1:4" hidden="1" x14ac:dyDescent="0.25">
      <c r="A444" s="22" t="s">
        <v>1200</v>
      </c>
      <c r="B444" s="27" t="s">
        <v>1201</v>
      </c>
      <c r="C444" s="22"/>
      <c r="D444" s="22"/>
    </row>
    <row r="445" spans="1:4" hidden="1" x14ac:dyDescent="0.25">
      <c r="A445" s="22" t="s">
        <v>1202</v>
      </c>
      <c r="B445" s="27" t="s">
        <v>1203</v>
      </c>
      <c r="C445" s="22"/>
      <c r="D445" s="22"/>
    </row>
    <row r="446" spans="1:4" hidden="1" x14ac:dyDescent="0.25">
      <c r="A446" s="2" t="s">
        <v>1204</v>
      </c>
      <c r="B446" s="3" t="s">
        <v>1205</v>
      </c>
      <c r="C446" s="22"/>
      <c r="D446" s="22"/>
    </row>
    <row r="447" spans="1:4" hidden="1" x14ac:dyDescent="0.25">
      <c r="A447" s="22" t="s">
        <v>1206</v>
      </c>
      <c r="B447" s="27" t="s">
        <v>1207</v>
      </c>
      <c r="C447" s="22"/>
      <c r="D447" s="22"/>
    </row>
    <row r="448" spans="1:4" hidden="1" x14ac:dyDescent="0.25">
      <c r="A448" s="22" t="s">
        <v>1208</v>
      </c>
      <c r="B448" s="27" t="s">
        <v>1209</v>
      </c>
      <c r="C448" s="22"/>
      <c r="D448" s="22"/>
    </row>
    <row r="449" spans="1:4" hidden="1" x14ac:dyDescent="0.25">
      <c r="A449" s="22" t="s">
        <v>1210</v>
      </c>
      <c r="B449" s="27" t="s">
        <v>1211</v>
      </c>
      <c r="C449" s="22"/>
      <c r="D449" s="22"/>
    </row>
    <row r="450" spans="1:4" hidden="1" x14ac:dyDescent="0.25">
      <c r="A450" s="22" t="s">
        <v>1212</v>
      </c>
      <c r="B450" s="27" t="s">
        <v>1213</v>
      </c>
      <c r="C450" s="22"/>
      <c r="D450" s="22"/>
    </row>
    <row r="451" spans="1:4" hidden="1" x14ac:dyDescent="0.25">
      <c r="A451" s="22" t="s">
        <v>1214</v>
      </c>
      <c r="B451" s="27" t="s">
        <v>1215</v>
      </c>
      <c r="C451" s="22"/>
      <c r="D451" s="22"/>
    </row>
    <row r="452" spans="1:4" hidden="1" x14ac:dyDescent="0.25">
      <c r="A452" s="2" t="s">
        <v>25</v>
      </c>
      <c r="B452" s="3" t="s">
        <v>24</v>
      </c>
      <c r="C452" s="22"/>
      <c r="D452" s="22"/>
    </row>
    <row r="453" spans="1:4" hidden="1" x14ac:dyDescent="0.25">
      <c r="A453" s="2" t="s">
        <v>1216</v>
      </c>
      <c r="B453" s="3" t="s">
        <v>1216</v>
      </c>
      <c r="C453" s="22"/>
      <c r="D453" s="22"/>
    </row>
    <row r="454" spans="1:4" hidden="1" x14ac:dyDescent="0.25">
      <c r="A454" s="22" t="s">
        <v>1217</v>
      </c>
      <c r="B454" s="27" t="s">
        <v>1218</v>
      </c>
      <c r="C454" s="22"/>
      <c r="D454" s="22"/>
    </row>
    <row r="455" spans="1:4" hidden="1" x14ac:dyDescent="0.25">
      <c r="A455" s="22" t="s">
        <v>1219</v>
      </c>
      <c r="B455" s="27" t="s">
        <v>1220</v>
      </c>
      <c r="C455" s="22"/>
      <c r="D455" s="22"/>
    </row>
    <row r="456" spans="1:4" hidden="1" x14ac:dyDescent="0.25">
      <c r="A456" s="22" t="s">
        <v>1221</v>
      </c>
      <c r="B456" s="27" t="s">
        <v>1222</v>
      </c>
      <c r="C456" s="22"/>
      <c r="D456" s="22"/>
    </row>
    <row r="457" spans="1:4" hidden="1" x14ac:dyDescent="0.25">
      <c r="A457" s="22" t="s">
        <v>1223</v>
      </c>
      <c r="B457" s="27" t="s">
        <v>1224</v>
      </c>
      <c r="C457" s="22"/>
      <c r="D457" s="22"/>
    </row>
    <row r="458" spans="1:4" hidden="1" x14ac:dyDescent="0.25">
      <c r="A458" s="22" t="s">
        <v>1225</v>
      </c>
      <c r="B458" s="27" t="s">
        <v>1226</v>
      </c>
      <c r="C458" s="22"/>
      <c r="D458" s="22"/>
    </row>
    <row r="459" spans="1:4" hidden="1" x14ac:dyDescent="0.25">
      <c r="A459" s="22" t="s">
        <v>1227</v>
      </c>
      <c r="B459" s="27" t="s">
        <v>1228</v>
      </c>
      <c r="C459" s="22"/>
      <c r="D459" s="22"/>
    </row>
    <row r="460" spans="1:4" hidden="1" x14ac:dyDescent="0.25">
      <c r="A460" s="22" t="s">
        <v>1229</v>
      </c>
      <c r="B460" s="27" t="s">
        <v>1230</v>
      </c>
      <c r="C460" s="22"/>
      <c r="D460" s="22"/>
    </row>
    <row r="461" spans="1:4" hidden="1" x14ac:dyDescent="0.25">
      <c r="A461" s="22" t="s">
        <v>1231</v>
      </c>
      <c r="B461" s="27" t="s">
        <v>1232</v>
      </c>
      <c r="C461" s="22"/>
      <c r="D461" s="22"/>
    </row>
    <row r="462" spans="1:4" hidden="1" x14ac:dyDescent="0.25">
      <c r="A462" s="22" t="s">
        <v>1233</v>
      </c>
      <c r="B462" s="27" t="s">
        <v>1234</v>
      </c>
      <c r="C462" s="22"/>
      <c r="D462" s="22"/>
    </row>
    <row r="463" spans="1:4" hidden="1" x14ac:dyDescent="0.25">
      <c r="A463" s="22" t="s">
        <v>1235</v>
      </c>
      <c r="B463" s="27" t="s">
        <v>1236</v>
      </c>
      <c r="C463" s="22"/>
      <c r="D463" s="22"/>
    </row>
    <row r="464" spans="1:4" hidden="1" x14ac:dyDescent="0.25">
      <c r="A464" s="22" t="s">
        <v>1237</v>
      </c>
      <c r="B464" s="27" t="s">
        <v>1238</v>
      </c>
      <c r="C464" s="22"/>
      <c r="D464" s="22"/>
    </row>
    <row r="465" spans="1:4" hidden="1" x14ac:dyDescent="0.25">
      <c r="A465" s="22" t="s">
        <v>1239</v>
      </c>
      <c r="B465" s="27" t="s">
        <v>1240</v>
      </c>
      <c r="C465" s="22"/>
      <c r="D465" s="22"/>
    </row>
    <row r="466" spans="1:4" hidden="1" x14ac:dyDescent="0.25">
      <c r="A466" s="22" t="s">
        <v>1241</v>
      </c>
      <c r="B466" s="27" t="s">
        <v>1242</v>
      </c>
      <c r="C466" s="22"/>
      <c r="D466" s="22"/>
    </row>
    <row r="467" spans="1:4" hidden="1" x14ac:dyDescent="0.25">
      <c r="A467" s="22" t="s">
        <v>1243</v>
      </c>
      <c r="B467" s="27" t="s">
        <v>1244</v>
      </c>
      <c r="C467" s="22"/>
      <c r="D467" s="22"/>
    </row>
    <row r="468" spans="1:4" hidden="1" x14ac:dyDescent="0.25">
      <c r="A468" s="22" t="s">
        <v>1245</v>
      </c>
      <c r="B468" s="27" t="s">
        <v>1246</v>
      </c>
      <c r="C468" s="22"/>
      <c r="D468" s="22"/>
    </row>
    <row r="469" spans="1:4" hidden="1" x14ac:dyDescent="0.25">
      <c r="A469" s="22" t="s">
        <v>1247</v>
      </c>
      <c r="B469" s="27" t="s">
        <v>1248</v>
      </c>
      <c r="C469" s="22"/>
      <c r="D469" s="22"/>
    </row>
    <row r="470" spans="1:4" hidden="1" x14ac:dyDescent="0.25">
      <c r="A470" s="22" t="s">
        <v>1249</v>
      </c>
      <c r="B470" s="27" t="s">
        <v>1250</v>
      </c>
      <c r="C470" s="22"/>
      <c r="D470" s="22"/>
    </row>
    <row r="471" spans="1:4" hidden="1" x14ac:dyDescent="0.25">
      <c r="A471" s="22" t="s">
        <v>1251</v>
      </c>
      <c r="B471" s="27" t="s">
        <v>1252</v>
      </c>
      <c r="C471" s="22"/>
      <c r="D471" s="22"/>
    </row>
    <row r="472" spans="1:4" hidden="1" x14ac:dyDescent="0.25">
      <c r="A472" s="22" t="s">
        <v>1253</v>
      </c>
      <c r="B472" s="27" t="s">
        <v>1254</v>
      </c>
      <c r="C472" s="22"/>
      <c r="D472" s="22"/>
    </row>
    <row r="473" spans="1:4" hidden="1" x14ac:dyDescent="0.25">
      <c r="A473" s="22" t="s">
        <v>1255</v>
      </c>
      <c r="B473" s="27" t="s">
        <v>1256</v>
      </c>
      <c r="C473" s="22"/>
      <c r="D473" s="22"/>
    </row>
    <row r="474" spans="1:4" hidden="1" x14ac:dyDescent="0.25">
      <c r="A474" s="22" t="s">
        <v>1257</v>
      </c>
      <c r="B474" s="27" t="s">
        <v>1258</v>
      </c>
      <c r="C474" s="22"/>
      <c r="D474" s="22"/>
    </row>
    <row r="475" spans="1:4" hidden="1" x14ac:dyDescent="0.25">
      <c r="A475" s="22" t="s">
        <v>1259</v>
      </c>
      <c r="B475" s="27" t="s">
        <v>1260</v>
      </c>
      <c r="C475" s="22"/>
      <c r="D475" s="22"/>
    </row>
    <row r="476" spans="1:4" hidden="1" x14ac:dyDescent="0.25">
      <c r="A476" s="22" t="s">
        <v>1261</v>
      </c>
      <c r="B476" s="27" t="s">
        <v>1262</v>
      </c>
      <c r="C476" s="22"/>
      <c r="D476" s="22"/>
    </row>
    <row r="477" spans="1:4" hidden="1" x14ac:dyDescent="0.25">
      <c r="A477" s="22" t="s">
        <v>1263</v>
      </c>
      <c r="B477" s="27" t="s">
        <v>1264</v>
      </c>
      <c r="C477" s="22"/>
      <c r="D477" s="22"/>
    </row>
    <row r="478" spans="1:4" hidden="1" x14ac:dyDescent="0.25">
      <c r="A478" s="22" t="s">
        <v>1265</v>
      </c>
      <c r="B478" s="27" t="s">
        <v>1266</v>
      </c>
      <c r="C478" s="22"/>
      <c r="D478" s="22"/>
    </row>
    <row r="479" spans="1:4" hidden="1" x14ac:dyDescent="0.25">
      <c r="A479" s="22" t="s">
        <v>1267</v>
      </c>
      <c r="B479" s="27" t="s">
        <v>1268</v>
      </c>
      <c r="C479" s="22"/>
      <c r="D479" s="22"/>
    </row>
    <row r="480" spans="1:4" hidden="1" x14ac:dyDescent="0.25">
      <c r="A480" s="22" t="s">
        <v>1269</v>
      </c>
      <c r="B480" s="27" t="s">
        <v>1270</v>
      </c>
      <c r="C480" s="22"/>
      <c r="D480" s="22"/>
    </row>
    <row r="481" spans="1:4" hidden="1" x14ac:dyDescent="0.25">
      <c r="A481" s="22" t="s">
        <v>1271</v>
      </c>
      <c r="B481" s="27" t="s">
        <v>1272</v>
      </c>
      <c r="C481" s="22"/>
      <c r="D481" s="22"/>
    </row>
    <row r="482" spans="1:4" hidden="1" x14ac:dyDescent="0.25">
      <c r="A482" s="22" t="s">
        <v>1273</v>
      </c>
      <c r="B482" s="27" t="s">
        <v>1274</v>
      </c>
      <c r="C482" s="22"/>
      <c r="D482" s="22"/>
    </row>
    <row r="483" spans="1:4" hidden="1" x14ac:dyDescent="0.25">
      <c r="A483" s="22" t="s">
        <v>1275</v>
      </c>
      <c r="B483" s="27" t="s">
        <v>1276</v>
      </c>
      <c r="C483" s="22"/>
      <c r="D483" s="22"/>
    </row>
    <row r="484" spans="1:4" hidden="1" x14ac:dyDescent="0.25">
      <c r="A484" s="22" t="s">
        <v>1277</v>
      </c>
      <c r="B484" s="27" t="s">
        <v>1278</v>
      </c>
      <c r="C484" s="22"/>
      <c r="D484" s="22"/>
    </row>
    <row r="485" spans="1:4" hidden="1" x14ac:dyDescent="0.25">
      <c r="A485" s="22" t="s">
        <v>1279</v>
      </c>
      <c r="B485" s="27" t="s">
        <v>1280</v>
      </c>
      <c r="C485" s="22"/>
      <c r="D485" s="22"/>
    </row>
    <row r="486" spans="1:4" hidden="1" x14ac:dyDescent="0.25">
      <c r="A486" s="22" t="s">
        <v>1281</v>
      </c>
      <c r="B486" s="27" t="s">
        <v>1282</v>
      </c>
      <c r="C486" s="22"/>
      <c r="D486" s="22"/>
    </row>
    <row r="487" spans="1:4" hidden="1" x14ac:dyDescent="0.25">
      <c r="A487" s="22" t="s">
        <v>1283</v>
      </c>
      <c r="B487" s="27" t="s">
        <v>1284</v>
      </c>
      <c r="C487" s="22"/>
      <c r="D487" s="22"/>
    </row>
    <row r="488" spans="1:4" hidden="1" x14ac:dyDescent="0.25">
      <c r="A488" s="22" t="s">
        <v>1285</v>
      </c>
      <c r="B488" s="27" t="s">
        <v>1286</v>
      </c>
      <c r="C488" s="22"/>
      <c r="D488" s="22"/>
    </row>
    <row r="489" spans="1:4" hidden="1" x14ac:dyDescent="0.25">
      <c r="A489" s="22" t="s">
        <v>1287</v>
      </c>
      <c r="B489" s="27" t="s">
        <v>1288</v>
      </c>
      <c r="C489" s="22"/>
      <c r="D489" s="22"/>
    </row>
    <row r="490" spans="1:4" hidden="1" x14ac:dyDescent="0.25">
      <c r="A490" s="2" t="s">
        <v>1289</v>
      </c>
      <c r="B490" s="35" t="s">
        <v>1290</v>
      </c>
      <c r="C490" s="22"/>
      <c r="D490" s="22"/>
    </row>
    <row r="491" spans="1:4" hidden="1" x14ac:dyDescent="0.25">
      <c r="A491" s="22" t="s">
        <v>1291</v>
      </c>
      <c r="B491" s="27" t="s">
        <v>1292</v>
      </c>
      <c r="C491" s="22"/>
      <c r="D491" s="22"/>
    </row>
    <row r="492" spans="1:4" hidden="1" x14ac:dyDescent="0.25">
      <c r="A492" s="22" t="s">
        <v>1293</v>
      </c>
      <c r="B492" s="27" t="s">
        <v>1294</v>
      </c>
      <c r="C492" s="22"/>
      <c r="D492" s="22"/>
    </row>
    <row r="493" spans="1:4" hidden="1" x14ac:dyDescent="0.25">
      <c r="A493" s="22" t="s">
        <v>1295</v>
      </c>
      <c r="B493" s="27" t="s">
        <v>1296</v>
      </c>
      <c r="C493" s="22"/>
      <c r="D493" s="22"/>
    </row>
    <row r="494" spans="1:4" hidden="1" x14ac:dyDescent="0.25">
      <c r="A494" s="22" t="s">
        <v>1297</v>
      </c>
      <c r="B494" s="27" t="s">
        <v>1298</v>
      </c>
      <c r="C494" s="22"/>
      <c r="D494" s="22"/>
    </row>
    <row r="495" spans="1:4" hidden="1" x14ac:dyDescent="0.25">
      <c r="A495" s="2" t="s">
        <v>1299</v>
      </c>
      <c r="B495" s="3"/>
      <c r="C495" s="22"/>
      <c r="D495" s="22"/>
    </row>
    <row r="496" spans="1:4" hidden="1" x14ac:dyDescent="0.25">
      <c r="A496" s="22" t="s">
        <v>1300</v>
      </c>
      <c r="B496" s="27" t="s">
        <v>92</v>
      </c>
      <c r="C496" s="22"/>
      <c r="D496" s="22"/>
    </row>
    <row r="497" spans="1:4" hidden="1" x14ac:dyDescent="0.25">
      <c r="A497" s="22" t="s">
        <v>1301</v>
      </c>
      <c r="B497" s="27" t="s">
        <v>1302</v>
      </c>
      <c r="C497" s="22"/>
      <c r="D497" s="22"/>
    </row>
    <row r="498" spans="1:4" hidden="1" x14ac:dyDescent="0.25">
      <c r="A498" s="22" t="s">
        <v>1303</v>
      </c>
      <c r="B498" s="27" t="s">
        <v>1304</v>
      </c>
      <c r="C498" s="22"/>
      <c r="D498" s="22"/>
    </row>
    <row r="499" spans="1:4" hidden="1" x14ac:dyDescent="0.25">
      <c r="A499" s="22" t="s">
        <v>1305</v>
      </c>
      <c r="B499" s="27" t="s">
        <v>1306</v>
      </c>
      <c r="C499" s="22"/>
      <c r="D499" s="22"/>
    </row>
    <row r="500" spans="1:4" hidden="1" x14ac:dyDescent="0.25">
      <c r="A500" s="22" t="s">
        <v>1307</v>
      </c>
      <c r="B500" s="27" t="s">
        <v>1308</v>
      </c>
      <c r="C500" s="22"/>
      <c r="D500" s="22"/>
    </row>
    <row r="501" spans="1:4" hidden="1" x14ac:dyDescent="0.25">
      <c r="A501" s="22" t="s">
        <v>1309</v>
      </c>
      <c r="B501" s="27" t="s">
        <v>1310</v>
      </c>
      <c r="C501" s="22"/>
      <c r="D501" s="22"/>
    </row>
    <row r="502" spans="1:4" hidden="1" x14ac:dyDescent="0.25">
      <c r="A502" s="22" t="s">
        <v>1311</v>
      </c>
      <c r="B502" s="27" t="s">
        <v>1312</v>
      </c>
      <c r="C502" s="22"/>
      <c r="D502" s="22"/>
    </row>
    <row r="503" spans="1:4" hidden="1" x14ac:dyDescent="0.25">
      <c r="A503" s="22" t="s">
        <v>1313</v>
      </c>
      <c r="B503" s="27" t="s">
        <v>1314</v>
      </c>
      <c r="C503" s="22"/>
      <c r="D503" s="22"/>
    </row>
    <row r="504" spans="1:4" hidden="1" x14ac:dyDescent="0.25">
      <c r="A504" s="22" t="s">
        <v>1315</v>
      </c>
      <c r="B504" s="27" t="s">
        <v>1316</v>
      </c>
      <c r="C504" s="22"/>
      <c r="D504" s="22"/>
    </row>
    <row r="505" spans="1:4" hidden="1" x14ac:dyDescent="0.25">
      <c r="A505" s="22" t="s">
        <v>1317</v>
      </c>
      <c r="B505" s="27" t="s">
        <v>1318</v>
      </c>
      <c r="C505" s="22"/>
      <c r="D505" s="22"/>
    </row>
    <row r="506" spans="1:4" hidden="1" x14ac:dyDescent="0.25">
      <c r="A506" s="22" t="s">
        <v>1319</v>
      </c>
      <c r="B506" s="27" t="s">
        <v>1320</v>
      </c>
      <c r="C506" s="22"/>
      <c r="D506" s="22"/>
    </row>
    <row r="507" spans="1:4" hidden="1" x14ac:dyDescent="0.25">
      <c r="A507" s="22" t="s">
        <v>1321</v>
      </c>
      <c r="B507" s="27" t="s">
        <v>1322</v>
      </c>
      <c r="C507" s="22"/>
      <c r="D507" s="22"/>
    </row>
    <row r="508" spans="1:4" hidden="1" x14ac:dyDescent="0.25">
      <c r="A508" s="22" t="s">
        <v>1323</v>
      </c>
      <c r="B508" s="27" t="s">
        <v>1324</v>
      </c>
      <c r="C508" s="22"/>
      <c r="D508" s="22"/>
    </row>
    <row r="509" spans="1:4" hidden="1" x14ac:dyDescent="0.25">
      <c r="A509" s="22" t="s">
        <v>1325</v>
      </c>
      <c r="B509" s="27" t="s">
        <v>1326</v>
      </c>
      <c r="C509" s="22"/>
      <c r="D509" s="22"/>
    </row>
    <row r="510" spans="1:4" hidden="1" x14ac:dyDescent="0.25">
      <c r="A510" s="22" t="s">
        <v>1327</v>
      </c>
      <c r="B510" s="27" t="s">
        <v>1328</v>
      </c>
      <c r="C510" s="22"/>
      <c r="D510" s="22"/>
    </row>
    <row r="511" spans="1:4" hidden="1" x14ac:dyDescent="0.25">
      <c r="A511" s="22" t="s">
        <v>1329</v>
      </c>
      <c r="B511" s="27" t="s">
        <v>1330</v>
      </c>
      <c r="C511" s="22"/>
      <c r="D511" s="22"/>
    </row>
    <row r="512" spans="1:4" hidden="1" x14ac:dyDescent="0.25">
      <c r="A512" s="22" t="s">
        <v>1331</v>
      </c>
      <c r="B512" s="27" t="s">
        <v>1332</v>
      </c>
      <c r="C512" s="22"/>
      <c r="D512" s="22"/>
    </row>
    <row r="513" spans="1:4" hidden="1" x14ac:dyDescent="0.25">
      <c r="A513" s="22" t="s">
        <v>1333</v>
      </c>
      <c r="B513" s="27" t="s">
        <v>1334</v>
      </c>
      <c r="C513" s="22"/>
      <c r="D513" s="22"/>
    </row>
    <row r="514" spans="1:4" hidden="1" x14ac:dyDescent="0.25">
      <c r="A514" s="22" t="s">
        <v>1335</v>
      </c>
      <c r="B514" s="27" t="s">
        <v>1336</v>
      </c>
      <c r="C514" s="22"/>
      <c r="D514" s="22"/>
    </row>
    <row r="515" spans="1:4" hidden="1" x14ac:dyDescent="0.25">
      <c r="A515" s="22" t="s">
        <v>1337</v>
      </c>
      <c r="B515" s="27" t="s">
        <v>1338</v>
      </c>
      <c r="C515" s="22"/>
      <c r="D515" s="22"/>
    </row>
    <row r="516" spans="1:4" hidden="1" x14ac:dyDescent="0.25">
      <c r="A516" s="22" t="s">
        <v>1339</v>
      </c>
      <c r="B516" s="27" t="s">
        <v>1340</v>
      </c>
      <c r="C516" s="22"/>
      <c r="D516" s="22"/>
    </row>
    <row r="517" spans="1:4" hidden="1" x14ac:dyDescent="0.25">
      <c r="A517" s="22" t="s">
        <v>1341</v>
      </c>
      <c r="B517" s="27" t="s">
        <v>1342</v>
      </c>
      <c r="C517" s="22"/>
      <c r="D517" s="22"/>
    </row>
    <row r="518" spans="1:4" hidden="1" x14ac:dyDescent="0.25">
      <c r="A518" s="22" t="s">
        <v>1343</v>
      </c>
      <c r="B518" s="27" t="s">
        <v>1344</v>
      </c>
      <c r="C518" s="22"/>
      <c r="D518" s="22"/>
    </row>
    <row r="519" spans="1:4" hidden="1" x14ac:dyDescent="0.25">
      <c r="A519" s="22" t="s">
        <v>1345</v>
      </c>
      <c r="B519" s="27" t="s">
        <v>1346</v>
      </c>
      <c r="C519" s="22"/>
      <c r="D519" s="22"/>
    </row>
    <row r="520" spans="1:4" hidden="1" x14ac:dyDescent="0.25">
      <c r="A520" s="22" t="s">
        <v>1347</v>
      </c>
      <c r="B520" s="27" t="s">
        <v>1348</v>
      </c>
      <c r="C520" s="22"/>
      <c r="D520" s="22"/>
    </row>
    <row r="521" spans="1:4" hidden="1" x14ac:dyDescent="0.25">
      <c r="A521" s="22" t="s">
        <v>1349</v>
      </c>
      <c r="B521" s="27" t="s">
        <v>1350</v>
      </c>
      <c r="C521" s="22"/>
      <c r="D521" s="22"/>
    </row>
    <row r="522" spans="1:4" hidden="1" x14ac:dyDescent="0.25">
      <c r="A522" s="22" t="s">
        <v>1351</v>
      </c>
      <c r="B522" s="27" t="s">
        <v>1352</v>
      </c>
      <c r="C522" s="22"/>
      <c r="D522" s="22"/>
    </row>
    <row r="523" spans="1:4" hidden="1" x14ac:dyDescent="0.25">
      <c r="A523" s="22" t="s">
        <v>1353</v>
      </c>
      <c r="B523" s="27" t="s">
        <v>1354</v>
      </c>
      <c r="C523" s="22"/>
      <c r="D523" s="22"/>
    </row>
    <row r="524" spans="1:4" hidden="1" x14ac:dyDescent="0.25">
      <c r="A524" s="22" t="s">
        <v>1355</v>
      </c>
      <c r="B524" s="27" t="s">
        <v>1356</v>
      </c>
      <c r="C524" s="22"/>
      <c r="D524" s="22"/>
    </row>
    <row r="525" spans="1:4" hidden="1" x14ac:dyDescent="0.25">
      <c r="A525" s="22" t="s">
        <v>1357</v>
      </c>
      <c r="B525" s="27" t="s">
        <v>1358</v>
      </c>
      <c r="C525" s="22"/>
      <c r="D525" s="22"/>
    </row>
    <row r="526" spans="1:4" hidden="1" x14ac:dyDescent="0.25">
      <c r="A526" s="22" t="s">
        <v>1359</v>
      </c>
      <c r="B526" s="27" t="s">
        <v>1360</v>
      </c>
      <c r="C526" s="22"/>
      <c r="D526" s="22"/>
    </row>
    <row r="527" spans="1:4" hidden="1" x14ac:dyDescent="0.25">
      <c r="A527" s="22" t="s">
        <v>1361</v>
      </c>
      <c r="B527" s="27" t="s">
        <v>1362</v>
      </c>
      <c r="C527" s="22"/>
      <c r="D527" s="22"/>
    </row>
    <row r="528" spans="1:4" hidden="1" x14ac:dyDescent="0.25">
      <c r="A528" s="22" t="s">
        <v>1363</v>
      </c>
      <c r="B528" s="27" t="s">
        <v>1364</v>
      </c>
      <c r="C528" s="22"/>
      <c r="D528" s="22"/>
    </row>
    <row r="529" spans="1:4" hidden="1" x14ac:dyDescent="0.25">
      <c r="A529" s="22" t="s">
        <v>1365</v>
      </c>
      <c r="B529" s="27" t="s">
        <v>1366</v>
      </c>
      <c r="C529" s="22"/>
      <c r="D529" s="22"/>
    </row>
    <row r="530" spans="1:4" hidden="1" x14ac:dyDescent="0.25">
      <c r="A530" s="22" t="s">
        <v>1367</v>
      </c>
      <c r="B530" s="27" t="s">
        <v>1368</v>
      </c>
      <c r="C530" s="22"/>
      <c r="D530" s="22"/>
    </row>
    <row r="531" spans="1:4" hidden="1" x14ac:dyDescent="0.25">
      <c r="A531" s="22" t="s">
        <v>1369</v>
      </c>
      <c r="B531" s="27" t="s">
        <v>1370</v>
      </c>
      <c r="C531" s="22"/>
      <c r="D531" s="22"/>
    </row>
    <row r="532" spans="1:4" hidden="1" x14ac:dyDescent="0.25">
      <c r="A532" s="22" t="s">
        <v>1371</v>
      </c>
      <c r="B532" s="27" t="s">
        <v>1372</v>
      </c>
      <c r="C532" s="22"/>
      <c r="D532" s="22"/>
    </row>
    <row r="533" spans="1:4" hidden="1" x14ac:dyDescent="0.25">
      <c r="A533" s="22" t="s">
        <v>1373</v>
      </c>
      <c r="B533" s="27" t="s">
        <v>1374</v>
      </c>
      <c r="C533" s="22"/>
      <c r="D533" s="22"/>
    </row>
    <row r="534" spans="1:4" hidden="1" x14ac:dyDescent="0.25">
      <c r="A534" s="22" t="s">
        <v>1375</v>
      </c>
      <c r="B534" s="27" t="s">
        <v>1376</v>
      </c>
      <c r="C534" s="22"/>
      <c r="D534" s="22"/>
    </row>
    <row r="535" spans="1:4" hidden="1" x14ac:dyDescent="0.25">
      <c r="A535" s="22" t="s">
        <v>1377</v>
      </c>
      <c r="B535" s="27" t="s">
        <v>1378</v>
      </c>
      <c r="C535" s="22"/>
      <c r="D535" s="22"/>
    </row>
    <row r="536" spans="1:4" hidden="1" x14ac:dyDescent="0.25">
      <c r="A536" s="22" t="s">
        <v>1379</v>
      </c>
      <c r="B536" s="27" t="s">
        <v>1380</v>
      </c>
      <c r="C536" s="22"/>
      <c r="D536" s="22"/>
    </row>
    <row r="537" spans="1:4" hidden="1" x14ac:dyDescent="0.25">
      <c r="A537" s="22" t="s">
        <v>1381</v>
      </c>
      <c r="B537" s="27" t="s">
        <v>1382</v>
      </c>
      <c r="C537" s="22"/>
      <c r="D537" s="22"/>
    </row>
    <row r="538" spans="1:4" hidden="1" x14ac:dyDescent="0.25">
      <c r="A538" s="22" t="s">
        <v>1383</v>
      </c>
      <c r="B538" s="27" t="s">
        <v>1384</v>
      </c>
      <c r="C538" s="22"/>
      <c r="D538" s="22"/>
    </row>
    <row r="539" spans="1:4" hidden="1" x14ac:dyDescent="0.25">
      <c r="A539" s="22" t="s">
        <v>1385</v>
      </c>
      <c r="B539" s="27" t="s">
        <v>1386</v>
      </c>
      <c r="C539" s="22"/>
      <c r="D539" s="22"/>
    </row>
    <row r="540" spans="1:4" hidden="1" x14ac:dyDescent="0.25">
      <c r="A540" s="22" t="s">
        <v>1387</v>
      </c>
      <c r="B540" s="27" t="s">
        <v>1388</v>
      </c>
      <c r="C540" s="22"/>
      <c r="D540" s="22"/>
    </row>
    <row r="541" spans="1:4" hidden="1" x14ac:dyDescent="0.25">
      <c r="A541" s="22" t="s">
        <v>1389</v>
      </c>
      <c r="B541" s="27" t="s">
        <v>1390</v>
      </c>
      <c r="C541" s="22"/>
      <c r="D541" s="22"/>
    </row>
    <row r="542" spans="1:4" hidden="1" x14ac:dyDescent="0.25">
      <c r="A542" s="22" t="s">
        <v>1391</v>
      </c>
      <c r="B542" s="27" t="s">
        <v>1392</v>
      </c>
      <c r="C542" s="22"/>
      <c r="D542" s="22"/>
    </row>
    <row r="543" spans="1:4" hidden="1" x14ac:dyDescent="0.25">
      <c r="A543" s="22" t="s">
        <v>1393</v>
      </c>
      <c r="B543" s="27" t="s">
        <v>1394</v>
      </c>
      <c r="C543" s="22"/>
      <c r="D543" s="22"/>
    </row>
    <row r="544" spans="1:4" hidden="1" x14ac:dyDescent="0.25">
      <c r="A544" s="22" t="s">
        <v>1395</v>
      </c>
      <c r="B544" s="27" t="s">
        <v>1396</v>
      </c>
      <c r="C544" s="22"/>
      <c r="D544" s="22"/>
    </row>
    <row r="545" spans="1:4" hidden="1" x14ac:dyDescent="0.25">
      <c r="A545" s="22" t="s">
        <v>1397</v>
      </c>
      <c r="B545" s="27" t="s">
        <v>1398</v>
      </c>
      <c r="C545" s="22"/>
      <c r="D545" s="22"/>
    </row>
    <row r="546" spans="1:4" hidden="1" x14ac:dyDescent="0.25">
      <c r="A546" s="22" t="s">
        <v>1399</v>
      </c>
      <c r="B546" s="27" t="s">
        <v>1400</v>
      </c>
      <c r="C546" s="22"/>
      <c r="D546" s="22"/>
    </row>
    <row r="547" spans="1:4" hidden="1" x14ac:dyDescent="0.25">
      <c r="A547" s="22" t="s">
        <v>1401</v>
      </c>
      <c r="B547" s="27" t="s">
        <v>1402</v>
      </c>
      <c r="C547" s="22"/>
      <c r="D547" s="22"/>
    </row>
    <row r="548" spans="1:4" hidden="1" x14ac:dyDescent="0.25">
      <c r="A548" s="22" t="s">
        <v>1403</v>
      </c>
      <c r="B548" s="27" t="s">
        <v>1404</v>
      </c>
      <c r="C548" s="22"/>
      <c r="D548" s="22"/>
    </row>
    <row r="549" spans="1:4" hidden="1" x14ac:dyDescent="0.25">
      <c r="A549" s="22" t="s">
        <v>1405</v>
      </c>
      <c r="B549" s="27" t="s">
        <v>1406</v>
      </c>
      <c r="C549" s="22"/>
      <c r="D549" s="22"/>
    </row>
    <row r="550" spans="1:4" hidden="1" x14ac:dyDescent="0.25">
      <c r="A550" s="22" t="s">
        <v>1407</v>
      </c>
      <c r="B550" s="27" t="s">
        <v>1408</v>
      </c>
      <c r="C550" s="22"/>
      <c r="D550" s="22"/>
    </row>
    <row r="551" spans="1:4" hidden="1" x14ac:dyDescent="0.25">
      <c r="A551" s="22" t="s">
        <v>1409</v>
      </c>
      <c r="B551" s="27" t="s">
        <v>1410</v>
      </c>
      <c r="C551" s="22"/>
      <c r="D551" s="22"/>
    </row>
    <row r="552" spans="1:4" hidden="1" x14ac:dyDescent="0.25">
      <c r="A552" s="2" t="s">
        <v>302</v>
      </c>
      <c r="B552" s="3"/>
      <c r="C552" s="22"/>
      <c r="D552" s="22"/>
    </row>
    <row r="553" spans="1:4" hidden="1" x14ac:dyDescent="0.25">
      <c r="A553" s="22" t="s">
        <v>309</v>
      </c>
      <c r="B553" s="27" t="s">
        <v>1411</v>
      </c>
      <c r="C553" s="22"/>
      <c r="D553" s="22"/>
    </row>
    <row r="554" spans="1:4" hidden="1" x14ac:dyDescent="0.25">
      <c r="A554" s="2" t="s">
        <v>34</v>
      </c>
      <c r="B554" s="3" t="s">
        <v>33</v>
      </c>
      <c r="C554" s="22">
        <v>3</v>
      </c>
      <c r="D554" s="22"/>
    </row>
    <row r="555" spans="1:4" hidden="1" x14ac:dyDescent="0.25">
      <c r="A555" s="2" t="s">
        <v>12</v>
      </c>
      <c r="B555" s="3" t="s">
        <v>11</v>
      </c>
      <c r="C555" s="22"/>
      <c r="D555" s="22"/>
    </row>
    <row r="556" spans="1:4" hidden="1" x14ac:dyDescent="0.25">
      <c r="A556" s="2" t="s">
        <v>122</v>
      </c>
      <c r="B556" s="3" t="s">
        <v>121</v>
      </c>
      <c r="C556" s="22"/>
      <c r="D556" s="22"/>
    </row>
    <row r="557" spans="1:4" hidden="1" x14ac:dyDescent="0.25">
      <c r="A557" s="2" t="s">
        <v>269</v>
      </c>
      <c r="B557" s="3" t="s">
        <v>268</v>
      </c>
      <c r="C557" s="22"/>
      <c r="D557" s="22"/>
    </row>
    <row r="558" spans="1:4" hidden="1" x14ac:dyDescent="0.25">
      <c r="A558" s="2" t="s">
        <v>1412</v>
      </c>
      <c r="B558" s="3" t="s">
        <v>1413</v>
      </c>
      <c r="C558" s="22"/>
      <c r="D558" s="22"/>
    </row>
    <row r="559" spans="1:4" hidden="1" x14ac:dyDescent="0.25">
      <c r="A559" s="2" t="s">
        <v>30</v>
      </c>
      <c r="B559" s="3" t="s">
        <v>29</v>
      </c>
      <c r="C559" s="22">
        <v>5</v>
      </c>
      <c r="D559" s="22"/>
    </row>
    <row r="560" spans="1:4" hidden="1" x14ac:dyDescent="0.25">
      <c r="A560" s="2" t="s">
        <v>85</v>
      </c>
      <c r="B560" s="3" t="s">
        <v>84</v>
      </c>
      <c r="C560" s="22"/>
      <c r="D560" s="22"/>
    </row>
    <row r="561" spans="1:4" hidden="1" x14ac:dyDescent="0.25">
      <c r="A561" s="2" t="s">
        <v>47</v>
      </c>
      <c r="B561" s="3" t="s">
        <v>46</v>
      </c>
      <c r="C561" s="22"/>
      <c r="D561" s="22"/>
    </row>
    <row r="562" spans="1:4" hidden="1" x14ac:dyDescent="0.25">
      <c r="A562" s="2" t="s">
        <v>66</v>
      </c>
      <c r="B562" s="3" t="s">
        <v>65</v>
      </c>
      <c r="C562" s="22">
        <v>8</v>
      </c>
      <c r="D562" s="22"/>
    </row>
    <row r="563" spans="1:4" hidden="1" x14ac:dyDescent="0.25">
      <c r="A563" s="2" t="s">
        <v>28</v>
      </c>
      <c r="B563" s="3" t="s">
        <v>27</v>
      </c>
      <c r="C563" s="22">
        <v>5</v>
      </c>
      <c r="D563" s="22"/>
    </row>
    <row r="564" spans="1:4" hidden="1" x14ac:dyDescent="0.25">
      <c r="A564" s="2" t="s">
        <v>1414</v>
      </c>
      <c r="B564" s="3" t="s">
        <v>1415</v>
      </c>
      <c r="C564" s="22">
        <v>1</v>
      </c>
      <c r="D564" s="22"/>
    </row>
    <row r="565" spans="1:4" hidden="1" x14ac:dyDescent="0.25">
      <c r="A565" s="22" t="s">
        <v>1416</v>
      </c>
      <c r="B565" s="27" t="s">
        <v>1417</v>
      </c>
      <c r="C565" s="22"/>
      <c r="D565" s="22"/>
    </row>
    <row r="566" spans="1:4" hidden="1" x14ac:dyDescent="0.25">
      <c r="A566" s="22" t="s">
        <v>346</v>
      </c>
      <c r="B566" s="27" t="s">
        <v>29</v>
      </c>
      <c r="C566" s="22"/>
      <c r="D566" s="22"/>
    </row>
    <row r="567" spans="1:4" hidden="1" x14ac:dyDescent="0.25">
      <c r="A567" s="22" t="s">
        <v>1418</v>
      </c>
      <c r="B567" s="27" t="s">
        <v>121</v>
      </c>
      <c r="C567" s="22">
        <v>3</v>
      </c>
      <c r="D567" s="22"/>
    </row>
    <row r="568" spans="1:4" hidden="1" x14ac:dyDescent="0.25">
      <c r="A568" s="38" t="s">
        <v>1419</v>
      </c>
      <c r="B568" s="39" t="s">
        <v>1420</v>
      </c>
    </row>
    <row r="569" spans="1:4" hidden="1" x14ac:dyDescent="0.25">
      <c r="A569" s="22" t="s">
        <v>1421</v>
      </c>
      <c r="B569" s="27" t="s">
        <v>1422</v>
      </c>
    </row>
    <row r="570" spans="1:4" hidden="1" x14ac:dyDescent="0.25">
      <c r="A570" s="22" t="s">
        <v>1423</v>
      </c>
      <c r="B570" s="27" t="s">
        <v>1424</v>
      </c>
    </row>
    <row r="571" spans="1:4" hidden="1" x14ac:dyDescent="0.25">
      <c r="A571" s="22" t="s">
        <v>1425</v>
      </c>
      <c r="B571" s="27" t="s">
        <v>1426</v>
      </c>
    </row>
    <row r="572" spans="1:4" hidden="1" x14ac:dyDescent="0.25">
      <c r="A572" s="22" t="s">
        <v>1427</v>
      </c>
      <c r="B572" s="27" t="s">
        <v>1428</v>
      </c>
    </row>
    <row r="573" spans="1:4" hidden="1" x14ac:dyDescent="0.25">
      <c r="A573" s="22" t="s">
        <v>1429</v>
      </c>
      <c r="B573" s="27" t="s">
        <v>1430</v>
      </c>
    </row>
    <row r="574" spans="1:4" hidden="1" x14ac:dyDescent="0.25">
      <c r="A574" s="22" t="s">
        <v>1431</v>
      </c>
      <c r="B574" s="27" t="s">
        <v>1432</v>
      </c>
    </row>
    <row r="575" spans="1:4" hidden="1" x14ac:dyDescent="0.25">
      <c r="A575" s="22" t="s">
        <v>1433</v>
      </c>
      <c r="B575" s="27" t="s">
        <v>1434</v>
      </c>
    </row>
    <row r="576" spans="1:4" hidden="1" x14ac:dyDescent="0.25">
      <c r="A576" s="22" t="s">
        <v>1435</v>
      </c>
      <c r="B576" s="27" t="s">
        <v>1436</v>
      </c>
    </row>
    <row r="577" spans="1:2" hidden="1" x14ac:dyDescent="0.25">
      <c r="A577" s="22" t="s">
        <v>1437</v>
      </c>
      <c r="B577" s="27" t="s">
        <v>1438</v>
      </c>
    </row>
    <row r="578" spans="1:2" hidden="1" x14ac:dyDescent="0.25">
      <c r="A578" s="22" t="s">
        <v>1439</v>
      </c>
      <c r="B578" s="27" t="s">
        <v>1440</v>
      </c>
    </row>
    <row r="579" spans="1:2" hidden="1" x14ac:dyDescent="0.25">
      <c r="A579" s="22" t="s">
        <v>1441</v>
      </c>
      <c r="B579" s="27" t="s">
        <v>1442</v>
      </c>
    </row>
    <row r="580" spans="1:2" hidden="1" x14ac:dyDescent="0.25">
      <c r="A580" s="22" t="s">
        <v>1443</v>
      </c>
      <c r="B580" s="27" t="s">
        <v>1444</v>
      </c>
    </row>
    <row r="581" spans="1:2" hidden="1" x14ac:dyDescent="0.25">
      <c r="A581" s="22" t="s">
        <v>1445</v>
      </c>
      <c r="B581" s="27" t="s">
        <v>1446</v>
      </c>
    </row>
    <row r="582" spans="1:2" hidden="1" x14ac:dyDescent="0.25">
      <c r="A582" s="22" t="s">
        <v>1447</v>
      </c>
      <c r="B582" s="27" t="s">
        <v>1448</v>
      </c>
    </row>
    <row r="583" spans="1:2" hidden="1" x14ac:dyDescent="0.25">
      <c r="A583" s="22" t="s">
        <v>1449</v>
      </c>
      <c r="B583" s="27" t="s">
        <v>1450</v>
      </c>
    </row>
    <row r="584" spans="1:2" hidden="1" x14ac:dyDescent="0.25">
      <c r="A584" s="2" t="s">
        <v>145</v>
      </c>
      <c r="B584" s="3" t="s">
        <v>144</v>
      </c>
    </row>
    <row r="585" spans="1:2" hidden="1" x14ac:dyDescent="0.25">
      <c r="A585" s="2" t="s">
        <v>352</v>
      </c>
      <c r="B585" s="3" t="s">
        <v>1451</v>
      </c>
    </row>
    <row r="586" spans="1:2" hidden="1" x14ac:dyDescent="0.25">
      <c r="A586" s="22" t="s">
        <v>1452</v>
      </c>
      <c r="B586" s="27" t="s">
        <v>1453</v>
      </c>
    </row>
    <row r="587" spans="1:2" hidden="1" x14ac:dyDescent="0.25">
      <c r="A587" s="22" t="s">
        <v>1454</v>
      </c>
      <c r="B587" s="27" t="s">
        <v>1455</v>
      </c>
    </row>
    <row r="588" spans="1:2" hidden="1" x14ac:dyDescent="0.25">
      <c r="A588" s="22" t="s">
        <v>1456</v>
      </c>
      <c r="B588" s="27" t="s">
        <v>1457</v>
      </c>
    </row>
    <row r="589" spans="1:2" hidden="1" x14ac:dyDescent="0.25">
      <c r="A589" s="22" t="s">
        <v>1458</v>
      </c>
      <c r="B589" s="27" t="s">
        <v>1459</v>
      </c>
    </row>
    <row r="590" spans="1:2" hidden="1" x14ac:dyDescent="0.25">
      <c r="A590" s="22" t="s">
        <v>1460</v>
      </c>
      <c r="B590" s="27" t="s">
        <v>1461</v>
      </c>
    </row>
    <row r="591" spans="1:2" hidden="1" x14ac:dyDescent="0.25">
      <c r="A591" s="22" t="s">
        <v>1462</v>
      </c>
      <c r="B591" s="27" t="s">
        <v>1463</v>
      </c>
    </row>
    <row r="592" spans="1:2" hidden="1" x14ac:dyDescent="0.25">
      <c r="A592" s="22" t="s">
        <v>1464</v>
      </c>
      <c r="B592" s="27" t="s">
        <v>1465</v>
      </c>
    </row>
    <row r="593" spans="1:2" hidden="1" x14ac:dyDescent="0.25">
      <c r="A593" s="22" t="s">
        <v>1466</v>
      </c>
      <c r="B593" s="27" t="s">
        <v>1467</v>
      </c>
    </row>
    <row r="594" spans="1:2" hidden="1" x14ac:dyDescent="0.25">
      <c r="A594" s="22" t="s">
        <v>1468</v>
      </c>
      <c r="B594" s="27" t="s">
        <v>1469</v>
      </c>
    </row>
    <row r="595" spans="1:2" hidden="1" x14ac:dyDescent="0.25">
      <c r="A595" s="22" t="s">
        <v>1470</v>
      </c>
      <c r="B595" s="27" t="s">
        <v>1471</v>
      </c>
    </row>
    <row r="596" spans="1:2" hidden="1" x14ac:dyDescent="0.25">
      <c r="A596" s="22" t="s">
        <v>1472</v>
      </c>
      <c r="B596" s="27" t="s">
        <v>1473</v>
      </c>
    </row>
    <row r="597" spans="1:2" hidden="1" x14ac:dyDescent="0.25">
      <c r="A597" s="22" t="s">
        <v>1474</v>
      </c>
      <c r="B597" s="27" t="s">
        <v>1475</v>
      </c>
    </row>
    <row r="598" spans="1:2" hidden="1" x14ac:dyDescent="0.25">
      <c r="A598" s="22" t="s">
        <v>1476</v>
      </c>
      <c r="B598" s="27" t="s">
        <v>1477</v>
      </c>
    </row>
    <row r="599" spans="1:2" hidden="1" x14ac:dyDescent="0.25">
      <c r="A599" s="22" t="s">
        <v>1478</v>
      </c>
      <c r="B599" s="27" t="s">
        <v>1479</v>
      </c>
    </row>
    <row r="600" spans="1:2" hidden="1" x14ac:dyDescent="0.25">
      <c r="A600" s="22" t="s">
        <v>1480</v>
      </c>
      <c r="B600" s="27" t="s">
        <v>1481</v>
      </c>
    </row>
    <row r="601" spans="1:2" hidden="1" x14ac:dyDescent="0.25">
      <c r="A601" s="22" t="s">
        <v>1482</v>
      </c>
      <c r="B601" s="27" t="s">
        <v>1483</v>
      </c>
    </row>
    <row r="602" spans="1:2" hidden="1" x14ac:dyDescent="0.25">
      <c r="A602" s="22" t="s">
        <v>1484</v>
      </c>
      <c r="B602" s="27" t="s">
        <v>1485</v>
      </c>
    </row>
    <row r="603" spans="1:2" hidden="1" x14ac:dyDescent="0.25">
      <c r="A603" s="22" t="s">
        <v>1486</v>
      </c>
      <c r="B603" s="27" t="s">
        <v>1487</v>
      </c>
    </row>
    <row r="604" spans="1:2" hidden="1" x14ac:dyDescent="0.25">
      <c r="A604" s="22" t="s">
        <v>1488</v>
      </c>
      <c r="B604" s="27" t="s">
        <v>1489</v>
      </c>
    </row>
    <row r="605" spans="1:2" hidden="1" x14ac:dyDescent="0.25">
      <c r="A605" s="22" t="s">
        <v>1490</v>
      </c>
      <c r="B605" s="27" t="s">
        <v>1491</v>
      </c>
    </row>
    <row r="606" spans="1:2" hidden="1" x14ac:dyDescent="0.25">
      <c r="A606" s="22" t="s">
        <v>1492</v>
      </c>
      <c r="B606" s="27" t="s">
        <v>1493</v>
      </c>
    </row>
    <row r="607" spans="1:2" hidden="1" x14ac:dyDescent="0.25">
      <c r="A607" s="22" t="s">
        <v>1494</v>
      </c>
      <c r="B607" s="27" t="s">
        <v>1495</v>
      </c>
    </row>
    <row r="608" spans="1:2" hidden="1" x14ac:dyDescent="0.25">
      <c r="A608" s="22" t="s">
        <v>1496</v>
      </c>
      <c r="B608" s="27" t="s">
        <v>1497</v>
      </c>
    </row>
    <row r="609" spans="1:2" hidden="1" x14ac:dyDescent="0.25">
      <c r="A609" s="22" t="s">
        <v>1498</v>
      </c>
      <c r="B609" s="27" t="s">
        <v>1499</v>
      </c>
    </row>
    <row r="610" spans="1:2" hidden="1" x14ac:dyDescent="0.25">
      <c r="A610" s="22" t="s">
        <v>1500</v>
      </c>
      <c r="B610" s="27" t="s">
        <v>1501</v>
      </c>
    </row>
    <row r="611" spans="1:2" hidden="1" x14ac:dyDescent="0.25">
      <c r="A611" s="22" t="s">
        <v>1502</v>
      </c>
      <c r="B611" s="27" t="s">
        <v>1503</v>
      </c>
    </row>
    <row r="612" spans="1:2" hidden="1" x14ac:dyDescent="0.25">
      <c r="A612" s="30" t="s">
        <v>1504</v>
      </c>
      <c r="B612" s="33" t="s">
        <v>1505</v>
      </c>
    </row>
    <row r="613" spans="1:2" hidden="1" x14ac:dyDescent="0.25">
      <c r="A613" s="30" t="s">
        <v>1506</v>
      </c>
      <c r="B613" s="33" t="s">
        <v>1507</v>
      </c>
    </row>
    <row r="614" spans="1:2" hidden="1" x14ac:dyDescent="0.25">
      <c r="A614" s="22" t="s">
        <v>1508</v>
      </c>
      <c r="B614" s="27" t="s">
        <v>1509</v>
      </c>
    </row>
    <row r="615" spans="1:2" hidden="1" x14ac:dyDescent="0.25">
      <c r="A615" s="22" t="s">
        <v>1510</v>
      </c>
      <c r="B615" s="27" t="s">
        <v>1511</v>
      </c>
    </row>
    <row r="616" spans="1:2" hidden="1" x14ac:dyDescent="0.25">
      <c r="A616" s="22" t="s">
        <v>1512</v>
      </c>
      <c r="B616" s="27" t="s">
        <v>1513</v>
      </c>
    </row>
    <row r="617" spans="1:2" x14ac:dyDescent="0.25">
      <c r="A617" s="10" t="s">
        <v>129</v>
      </c>
      <c r="B617" s="11" t="s">
        <v>14</v>
      </c>
    </row>
    <row r="618" spans="1:2" x14ac:dyDescent="0.25">
      <c r="A618" s="30" t="s">
        <v>312</v>
      </c>
      <c r="B618" s="33" t="s">
        <v>1514</v>
      </c>
    </row>
    <row r="619" spans="1:2" hidden="1" x14ac:dyDescent="0.25">
      <c r="A619" s="30" t="s">
        <v>1515</v>
      </c>
      <c r="B619" s="33" t="s">
        <v>1516</v>
      </c>
    </row>
    <row r="620" spans="1:2" hidden="1" x14ac:dyDescent="0.25">
      <c r="A620" s="30" t="s">
        <v>1517</v>
      </c>
      <c r="B620" s="33" t="s">
        <v>1518</v>
      </c>
    </row>
    <row r="621" spans="1:2" hidden="1" x14ac:dyDescent="0.25">
      <c r="A621" s="30" t="s">
        <v>1519</v>
      </c>
      <c r="B621" s="33" t="s">
        <v>1520</v>
      </c>
    </row>
    <row r="622" spans="1:2" hidden="1" x14ac:dyDescent="0.25">
      <c r="A622" s="30" t="s">
        <v>1521</v>
      </c>
      <c r="B622" s="36" t="s">
        <v>1522</v>
      </c>
    </row>
    <row r="623" spans="1:2" hidden="1" x14ac:dyDescent="0.25">
      <c r="A623" s="8" t="s">
        <v>72</v>
      </c>
      <c r="B623" s="9" t="s">
        <v>71</v>
      </c>
    </row>
    <row r="624" spans="1:2" hidden="1" x14ac:dyDescent="0.25">
      <c r="A624" s="30" t="s">
        <v>1523</v>
      </c>
      <c r="B624" s="33" t="s">
        <v>1524</v>
      </c>
    </row>
    <row r="625" spans="1:2" hidden="1" x14ac:dyDescent="0.25">
      <c r="A625" s="30" t="s">
        <v>1525</v>
      </c>
      <c r="B625" s="33" t="s">
        <v>1526</v>
      </c>
    </row>
    <row r="626" spans="1:2" hidden="1" x14ac:dyDescent="0.25">
      <c r="A626" s="30" t="s">
        <v>1527</v>
      </c>
      <c r="B626" s="33" t="s">
        <v>1528</v>
      </c>
    </row>
    <row r="627" spans="1:2" hidden="1" x14ac:dyDescent="0.25">
      <c r="A627" s="30" t="s">
        <v>1529</v>
      </c>
      <c r="B627" s="33" t="s">
        <v>1530</v>
      </c>
    </row>
    <row r="628" spans="1:2" hidden="1" x14ac:dyDescent="0.25">
      <c r="A628" s="30" t="s">
        <v>1531</v>
      </c>
      <c r="B628" s="33" t="s">
        <v>1532</v>
      </c>
    </row>
    <row r="629" spans="1:2" hidden="1" x14ac:dyDescent="0.25">
      <c r="A629" s="30" t="s">
        <v>1533</v>
      </c>
      <c r="B629" s="33" t="s">
        <v>1534</v>
      </c>
    </row>
    <row r="630" spans="1:2" hidden="1" x14ac:dyDescent="0.25">
      <c r="A630" s="30" t="s">
        <v>1535</v>
      </c>
      <c r="B630" s="33" t="s">
        <v>1536</v>
      </c>
    </row>
    <row r="631" spans="1:2" hidden="1" x14ac:dyDescent="0.25">
      <c r="A631" s="30" t="s">
        <v>1537</v>
      </c>
      <c r="B631" s="33" t="s">
        <v>1538</v>
      </c>
    </row>
    <row r="632" spans="1:2" hidden="1" x14ac:dyDescent="0.25">
      <c r="A632" s="30" t="s">
        <v>1539</v>
      </c>
      <c r="B632" s="33" t="s">
        <v>1540</v>
      </c>
    </row>
    <row r="633" spans="1:2" hidden="1" x14ac:dyDescent="0.25">
      <c r="A633" s="30" t="s">
        <v>1541</v>
      </c>
      <c r="B633" s="33" t="s">
        <v>1542</v>
      </c>
    </row>
    <row r="634" spans="1:2" hidden="1" x14ac:dyDescent="0.25">
      <c r="A634" s="30" t="s">
        <v>1543</v>
      </c>
      <c r="B634" s="33" t="s">
        <v>1544</v>
      </c>
    </row>
    <row r="635" spans="1:2" hidden="1" x14ac:dyDescent="0.25">
      <c r="A635" s="30" t="s">
        <v>1545</v>
      </c>
      <c r="B635" s="33" t="s">
        <v>1546</v>
      </c>
    </row>
    <row r="636" spans="1:2" hidden="1" x14ac:dyDescent="0.25">
      <c r="A636" s="30" t="s">
        <v>1547</v>
      </c>
      <c r="B636" s="33" t="s">
        <v>1548</v>
      </c>
    </row>
    <row r="637" spans="1:2" hidden="1" x14ac:dyDescent="0.25">
      <c r="A637" s="30" t="s">
        <v>1549</v>
      </c>
      <c r="B637" s="33" t="s">
        <v>1550</v>
      </c>
    </row>
    <row r="638" spans="1:2" hidden="1" x14ac:dyDescent="0.25">
      <c r="A638" s="30" t="s">
        <v>1551</v>
      </c>
      <c r="B638" s="33" t="s">
        <v>1552</v>
      </c>
    </row>
    <row r="639" spans="1:2" hidden="1" x14ac:dyDescent="0.25">
      <c r="A639" s="30" t="s">
        <v>1553</v>
      </c>
      <c r="B639" s="33" t="s">
        <v>1554</v>
      </c>
    </row>
    <row r="640" spans="1:2" hidden="1" x14ac:dyDescent="0.25">
      <c r="A640" s="31" t="s">
        <v>1555</v>
      </c>
      <c r="B640" s="34" t="s">
        <v>1556</v>
      </c>
    </row>
    <row r="641" spans="1:4" hidden="1" x14ac:dyDescent="0.25">
      <c r="A641" s="22" t="s">
        <v>1557</v>
      </c>
      <c r="B641" s="27" t="s">
        <v>1558</v>
      </c>
    </row>
    <row r="642" spans="1:4" hidden="1" x14ac:dyDescent="0.25">
      <c r="A642" s="22" t="s">
        <v>1559</v>
      </c>
      <c r="B642" s="27" t="s">
        <v>1560</v>
      </c>
    </row>
    <row r="643" spans="1:4" hidden="1" x14ac:dyDescent="0.25">
      <c r="A643" s="22" t="s">
        <v>1561</v>
      </c>
      <c r="B643" s="27" t="s">
        <v>1562</v>
      </c>
    </row>
    <row r="644" spans="1:4" hidden="1" x14ac:dyDescent="0.25">
      <c r="A644" s="32" t="s">
        <v>1563</v>
      </c>
      <c r="B644" s="36" t="s">
        <v>1564</v>
      </c>
    </row>
    <row r="645" spans="1:4" x14ac:dyDescent="0.25">
      <c r="A645" s="20" t="s">
        <v>275</v>
      </c>
    </row>
    <row r="646" spans="1:4" hidden="1" x14ac:dyDescent="0.25">
      <c r="A646" s="22" t="s">
        <v>1565</v>
      </c>
      <c r="B646" s="27">
        <v>0</v>
      </c>
      <c r="C646" s="22">
        <v>5</v>
      </c>
      <c r="D646" s="22"/>
    </row>
    <row r="647" spans="1:4" hidden="1" x14ac:dyDescent="0.25">
      <c r="A647" s="22" t="s">
        <v>1566</v>
      </c>
      <c r="B647" s="27">
        <v>0</v>
      </c>
      <c r="C647" s="22">
        <v>2</v>
      </c>
      <c r="D647" s="22"/>
    </row>
    <row r="648" spans="1:4" hidden="1" x14ac:dyDescent="0.25">
      <c r="A648" s="2" t="s">
        <v>1567</v>
      </c>
      <c r="B648" s="3">
        <v>0</v>
      </c>
      <c r="C648" s="22">
        <v>1</v>
      </c>
      <c r="D648" s="22"/>
    </row>
    <row r="649" spans="1:4" hidden="1" x14ac:dyDescent="0.25">
      <c r="A649" s="2" t="s">
        <v>1568</v>
      </c>
      <c r="B649" s="3">
        <v>0</v>
      </c>
      <c r="C649" s="22">
        <v>5</v>
      </c>
      <c r="D649" s="22"/>
    </row>
    <row r="650" spans="1:4" hidden="1" x14ac:dyDescent="0.25">
      <c r="A650" s="20" t="s">
        <v>1569</v>
      </c>
      <c r="B650" s="21" t="s">
        <v>1570</v>
      </c>
    </row>
    <row r="651" spans="1:4" hidden="1" x14ac:dyDescent="0.25">
      <c r="A651" s="20" t="s">
        <v>1581</v>
      </c>
    </row>
    <row r="652" spans="1:4" hidden="1" x14ac:dyDescent="0.25">
      <c r="A652" s="20" t="s">
        <v>1583</v>
      </c>
    </row>
  </sheetData>
  <autoFilter ref="A1:D652" xr:uid="{B67CED7E-ECED-48D0-B0A3-AEBACA2CB99E}">
    <filterColumn colId="0">
      <filters>
        <filter val="TOCO ACTIVIDAD UTERINA PARA MONITOR FETAL COROMETRICS 170"/>
        <filter val="TOCO DE FRECUENCIAS UTERINA F3 EDAN"/>
        <filter val="TOCO DE ULTRASONIDO EDAN F3"/>
      </filters>
    </filterColumn>
  </autoFilter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C7CF-8BF5-42E7-A019-77CA8B3413C5}">
  <dimension ref="C2:D84"/>
  <sheetViews>
    <sheetView topLeftCell="A72" workbookViewId="0">
      <selection activeCell="F86" sqref="F86"/>
    </sheetView>
  </sheetViews>
  <sheetFormatPr baseColWidth="10" defaultColWidth="11.42578125" defaultRowHeight="15" x14ac:dyDescent="0.25"/>
  <cols>
    <col min="3" max="3" width="65.28515625" bestFit="1" customWidth="1"/>
    <col min="4" max="4" width="19.140625" bestFit="1" customWidth="1"/>
  </cols>
  <sheetData>
    <row r="2" spans="3:4" x14ac:dyDescent="0.25">
      <c r="C2" s="1" t="s">
        <v>3</v>
      </c>
      <c r="D2" s="1" t="s">
        <v>1571</v>
      </c>
    </row>
    <row r="3" spans="3:4" x14ac:dyDescent="0.25">
      <c r="C3" s="2" t="s">
        <v>1216</v>
      </c>
      <c r="D3" s="3" t="s">
        <v>1216</v>
      </c>
    </row>
    <row r="4" spans="3:4" x14ac:dyDescent="0.25">
      <c r="C4" s="2" t="s">
        <v>435</v>
      </c>
      <c r="D4" s="3" t="s">
        <v>436</v>
      </c>
    </row>
    <row r="5" spans="3:4" x14ac:dyDescent="0.25">
      <c r="C5" s="2" t="s">
        <v>44</v>
      </c>
      <c r="D5" s="3" t="s">
        <v>43</v>
      </c>
    </row>
    <row r="6" spans="3:4" x14ac:dyDescent="0.25">
      <c r="C6" s="2" t="s">
        <v>157</v>
      </c>
      <c r="D6" s="3" t="s">
        <v>156</v>
      </c>
    </row>
    <row r="7" spans="3:4" x14ac:dyDescent="0.25">
      <c r="C7" s="2" t="s">
        <v>154</v>
      </c>
      <c r="D7" s="3" t="s">
        <v>33</v>
      </c>
    </row>
    <row r="8" spans="3:4" x14ac:dyDescent="0.25">
      <c r="C8" s="4" t="s">
        <v>477</v>
      </c>
      <c r="D8" s="5"/>
    </row>
    <row r="9" spans="3:4" x14ac:dyDescent="0.25">
      <c r="C9" s="4" t="s">
        <v>191</v>
      </c>
      <c r="D9" s="5"/>
    </row>
    <row r="10" spans="3:4" x14ac:dyDescent="0.25">
      <c r="C10" s="2" t="s">
        <v>167</v>
      </c>
      <c r="D10" s="3" t="s">
        <v>166</v>
      </c>
    </row>
    <row r="11" spans="3:4" x14ac:dyDescent="0.25">
      <c r="C11" s="2" t="s">
        <v>193</v>
      </c>
      <c r="D11" s="3" t="s">
        <v>192</v>
      </c>
    </row>
    <row r="12" spans="3:4" x14ac:dyDescent="0.25">
      <c r="C12" s="2" t="s">
        <v>538</v>
      </c>
      <c r="D12" s="3" t="s">
        <v>539</v>
      </c>
    </row>
    <row r="13" spans="3:4" x14ac:dyDescent="0.25">
      <c r="C13" s="2" t="s">
        <v>540</v>
      </c>
      <c r="D13" s="3" t="s">
        <v>541</v>
      </c>
    </row>
    <row r="14" spans="3:4" x14ac:dyDescent="0.25">
      <c r="C14" s="2" t="s">
        <v>542</v>
      </c>
      <c r="D14" s="3" t="s">
        <v>543</v>
      </c>
    </row>
    <row r="15" spans="3:4" x14ac:dyDescent="0.25">
      <c r="C15" s="2" t="s">
        <v>22</v>
      </c>
      <c r="D15" s="3" t="s">
        <v>21</v>
      </c>
    </row>
    <row r="16" spans="3:4" x14ac:dyDescent="0.25">
      <c r="C16" s="2" t="s">
        <v>544</v>
      </c>
      <c r="D16" s="3" t="s">
        <v>545</v>
      </c>
    </row>
    <row r="17" spans="3:4" x14ac:dyDescent="0.25">
      <c r="C17" s="2" t="s">
        <v>162</v>
      </c>
      <c r="D17" s="3" t="s">
        <v>161</v>
      </c>
    </row>
    <row r="18" spans="3:4" x14ac:dyDescent="0.25">
      <c r="C18" s="2" t="s">
        <v>36</v>
      </c>
      <c r="D18" s="3" t="s">
        <v>231</v>
      </c>
    </row>
    <row r="19" spans="3:4" x14ac:dyDescent="0.25">
      <c r="C19" s="2" t="s">
        <v>82</v>
      </c>
      <c r="D19" s="3" t="s">
        <v>81</v>
      </c>
    </row>
    <row r="20" spans="3:4" x14ac:dyDescent="0.25">
      <c r="C20" s="2" t="s">
        <v>550</v>
      </c>
      <c r="D20" s="3" t="s">
        <v>551</v>
      </c>
    </row>
    <row r="21" spans="3:4" x14ac:dyDescent="0.25">
      <c r="C21" s="2" t="s">
        <v>560</v>
      </c>
      <c r="D21" s="3" t="s">
        <v>561</v>
      </c>
    </row>
    <row r="22" spans="3:4" x14ac:dyDescent="0.25">
      <c r="C22" s="2" t="s">
        <v>186</v>
      </c>
      <c r="D22" s="3" t="s">
        <v>185</v>
      </c>
    </row>
    <row r="23" spans="3:4" x14ac:dyDescent="0.25">
      <c r="C23" s="2" t="s">
        <v>98</v>
      </c>
      <c r="D23" s="3" t="s">
        <v>97</v>
      </c>
    </row>
    <row r="24" spans="3:4" x14ac:dyDescent="0.25">
      <c r="C24" s="2" t="s">
        <v>69</v>
      </c>
      <c r="D24" s="3" t="s">
        <v>68</v>
      </c>
    </row>
    <row r="25" spans="3:4" x14ac:dyDescent="0.25">
      <c r="C25" s="2" t="s">
        <v>61</v>
      </c>
      <c r="D25" s="3" t="s">
        <v>60</v>
      </c>
    </row>
    <row r="26" spans="3:4" x14ac:dyDescent="0.25">
      <c r="C26" s="2" t="s">
        <v>127</v>
      </c>
      <c r="D26" s="3" t="s">
        <v>126</v>
      </c>
    </row>
    <row r="27" spans="3:4" x14ac:dyDescent="0.25">
      <c r="C27" s="2" t="s">
        <v>559</v>
      </c>
      <c r="D27" s="3" t="s">
        <v>549</v>
      </c>
    </row>
    <row r="28" spans="3:4" x14ac:dyDescent="0.25">
      <c r="C28" s="2" t="s">
        <v>558</v>
      </c>
      <c r="D28" s="3" t="s">
        <v>247</v>
      </c>
    </row>
    <row r="29" spans="3:4" x14ac:dyDescent="0.25">
      <c r="C29" s="2" t="s">
        <v>556</v>
      </c>
      <c r="D29" s="3" t="s">
        <v>557</v>
      </c>
    </row>
    <row r="30" spans="3:4" x14ac:dyDescent="0.25">
      <c r="C30" s="2" t="s">
        <v>183</v>
      </c>
      <c r="D30" s="6" t="s">
        <v>14</v>
      </c>
    </row>
    <row r="31" spans="3:4" x14ac:dyDescent="0.25">
      <c r="C31" s="2" t="s">
        <v>19</v>
      </c>
      <c r="D31" s="3" t="s">
        <v>18</v>
      </c>
    </row>
    <row r="32" spans="3:4" x14ac:dyDescent="0.25">
      <c r="C32" s="2" t="s">
        <v>250</v>
      </c>
      <c r="D32" s="3" t="s">
        <v>249</v>
      </c>
    </row>
    <row r="33" spans="3:4" x14ac:dyDescent="0.25">
      <c r="C33" s="2" t="s">
        <v>75</v>
      </c>
      <c r="D33" s="3" t="s">
        <v>74</v>
      </c>
    </row>
    <row r="34" spans="3:4" x14ac:dyDescent="0.25">
      <c r="C34" s="2" t="s">
        <v>15</v>
      </c>
      <c r="D34" s="7" t="s">
        <v>232</v>
      </c>
    </row>
    <row r="35" spans="3:4" x14ac:dyDescent="0.25">
      <c r="C35" s="2" t="s">
        <v>52</v>
      </c>
      <c r="D35" s="3" t="s">
        <v>574</v>
      </c>
    </row>
    <row r="36" spans="3:4" x14ac:dyDescent="0.25">
      <c r="C36" s="2" t="s">
        <v>54</v>
      </c>
      <c r="D36" s="3" t="s">
        <v>53</v>
      </c>
    </row>
    <row r="37" spans="3:4" x14ac:dyDescent="0.25">
      <c r="C37" s="2" t="s">
        <v>571</v>
      </c>
      <c r="D37" s="3" t="s">
        <v>572</v>
      </c>
    </row>
    <row r="38" spans="3:4" x14ac:dyDescent="0.25">
      <c r="C38" s="2" t="s">
        <v>583</v>
      </c>
      <c r="D38" s="3" t="s">
        <v>584</v>
      </c>
    </row>
    <row r="39" spans="3:4" x14ac:dyDescent="0.25">
      <c r="C39" s="2" t="s">
        <v>569</v>
      </c>
      <c r="D39" s="3" t="s">
        <v>570</v>
      </c>
    </row>
    <row r="40" spans="3:4" x14ac:dyDescent="0.25">
      <c r="C40" s="2" t="s">
        <v>579</v>
      </c>
      <c r="D40" s="3" t="s">
        <v>580</v>
      </c>
    </row>
    <row r="41" spans="3:4" x14ac:dyDescent="0.25">
      <c r="C41" s="2" t="s">
        <v>581</v>
      </c>
      <c r="D41" s="3" t="s">
        <v>582</v>
      </c>
    </row>
    <row r="42" spans="3:4" x14ac:dyDescent="0.25">
      <c r="C42" s="2" t="s">
        <v>607</v>
      </c>
      <c r="D42" s="3" t="s">
        <v>608</v>
      </c>
    </row>
    <row r="43" spans="3:4" x14ac:dyDescent="0.25">
      <c r="C43" s="2" t="s">
        <v>669</v>
      </c>
      <c r="D43" s="3" t="s">
        <v>670</v>
      </c>
    </row>
    <row r="44" spans="3:4" x14ac:dyDescent="0.25">
      <c r="C44" s="2" t="s">
        <v>741</v>
      </c>
      <c r="D44" s="3" t="s">
        <v>742</v>
      </c>
    </row>
    <row r="45" spans="3:4" x14ac:dyDescent="0.25">
      <c r="C45" s="2" t="s">
        <v>747</v>
      </c>
      <c r="D45" s="3" t="s">
        <v>748</v>
      </c>
    </row>
    <row r="46" spans="3:4" x14ac:dyDescent="0.25">
      <c r="C46" s="2" t="s">
        <v>39</v>
      </c>
      <c r="D46" s="3" t="s">
        <v>38</v>
      </c>
    </row>
    <row r="47" spans="3:4" x14ac:dyDescent="0.25">
      <c r="C47" s="2" t="s">
        <v>763</v>
      </c>
      <c r="D47" s="3" t="s">
        <v>764</v>
      </c>
    </row>
    <row r="48" spans="3:4" x14ac:dyDescent="0.25">
      <c r="C48" s="2" t="s">
        <v>765</v>
      </c>
      <c r="D48" s="3" t="s">
        <v>766</v>
      </c>
    </row>
    <row r="49" spans="3:4" x14ac:dyDescent="0.25">
      <c r="C49" s="2" t="s">
        <v>180</v>
      </c>
      <c r="D49" s="3" t="s">
        <v>179</v>
      </c>
    </row>
    <row r="50" spans="3:4" x14ac:dyDescent="0.25">
      <c r="C50" s="8" t="s">
        <v>889</v>
      </c>
      <c r="D50" s="9" t="s">
        <v>890</v>
      </c>
    </row>
    <row r="51" spans="3:4" x14ac:dyDescent="0.25">
      <c r="C51" s="8" t="s">
        <v>895</v>
      </c>
      <c r="D51" s="9" t="s">
        <v>896</v>
      </c>
    </row>
    <row r="52" spans="3:4" x14ac:dyDescent="0.25">
      <c r="C52" s="2" t="s">
        <v>925</v>
      </c>
      <c r="D52" s="3" t="s">
        <v>926</v>
      </c>
    </row>
    <row r="53" spans="3:4" x14ac:dyDescent="0.25">
      <c r="C53" s="2" t="s">
        <v>927</v>
      </c>
      <c r="D53" s="3" t="s">
        <v>928</v>
      </c>
    </row>
    <row r="54" spans="3:4" x14ac:dyDescent="0.25">
      <c r="C54" s="2" t="s">
        <v>877</v>
      </c>
      <c r="D54" s="3" t="s">
        <v>878</v>
      </c>
    </row>
    <row r="55" spans="3:4" x14ac:dyDescent="0.25">
      <c r="C55" s="10" t="s">
        <v>1572</v>
      </c>
      <c r="D55" s="11" t="s">
        <v>991</v>
      </c>
    </row>
    <row r="56" spans="3:4" x14ac:dyDescent="0.25">
      <c r="C56" s="10" t="s">
        <v>42</v>
      </c>
      <c r="D56" s="11" t="s">
        <v>41</v>
      </c>
    </row>
    <row r="57" spans="3:4" x14ac:dyDescent="0.25">
      <c r="C57" s="8" t="s">
        <v>300</v>
      </c>
      <c r="D57" s="9" t="s">
        <v>317</v>
      </c>
    </row>
    <row r="58" spans="3:4" x14ac:dyDescent="0.25">
      <c r="C58" s="8" t="s">
        <v>35</v>
      </c>
      <c r="D58" s="9" t="s">
        <v>1125</v>
      </c>
    </row>
    <row r="59" spans="3:4" x14ac:dyDescent="0.25">
      <c r="C59" s="8" t="s">
        <v>1204</v>
      </c>
      <c r="D59" s="9" t="s">
        <v>1205</v>
      </c>
    </row>
    <row r="60" spans="3:4" x14ac:dyDescent="0.25">
      <c r="C60" s="8" t="s">
        <v>25</v>
      </c>
      <c r="D60" s="9" t="s">
        <v>24</v>
      </c>
    </row>
    <row r="61" spans="3:4" x14ac:dyDescent="0.25">
      <c r="C61" s="8" t="s">
        <v>1289</v>
      </c>
      <c r="D61" s="12" t="s">
        <v>1290</v>
      </c>
    </row>
    <row r="62" spans="3:4" x14ac:dyDescent="0.25">
      <c r="C62" s="8" t="s">
        <v>93</v>
      </c>
      <c r="D62" s="9" t="s">
        <v>92</v>
      </c>
    </row>
    <row r="63" spans="3:4" x14ac:dyDescent="0.25">
      <c r="C63" s="13" t="s">
        <v>1299</v>
      </c>
      <c r="D63" s="14"/>
    </row>
    <row r="64" spans="3:4" x14ac:dyDescent="0.25">
      <c r="C64" s="8" t="s">
        <v>1573</v>
      </c>
      <c r="D64" s="9" t="s">
        <v>1411</v>
      </c>
    </row>
    <row r="65" spans="3:4" x14ac:dyDescent="0.25">
      <c r="C65" s="13" t="s">
        <v>302</v>
      </c>
      <c r="D65" s="14"/>
    </row>
    <row r="66" spans="3:4" x14ac:dyDescent="0.25">
      <c r="C66" s="8" t="s">
        <v>12</v>
      </c>
      <c r="D66" s="9" t="s">
        <v>11</v>
      </c>
    </row>
    <row r="67" spans="3:4" x14ac:dyDescent="0.25">
      <c r="C67" s="8" t="s">
        <v>122</v>
      </c>
      <c r="D67" s="9" t="s">
        <v>121</v>
      </c>
    </row>
    <row r="68" spans="3:4" x14ac:dyDescent="0.25">
      <c r="C68" s="8" t="s">
        <v>66</v>
      </c>
      <c r="D68" s="9" t="s">
        <v>65</v>
      </c>
    </row>
    <row r="69" spans="3:4" x14ac:dyDescent="0.25">
      <c r="C69" s="8" t="s">
        <v>47</v>
      </c>
      <c r="D69" s="9" t="s">
        <v>46</v>
      </c>
    </row>
    <row r="70" spans="3:4" x14ac:dyDescent="0.25">
      <c r="C70" s="8" t="s">
        <v>85</v>
      </c>
      <c r="D70" s="9" t="s">
        <v>84</v>
      </c>
    </row>
    <row r="71" spans="3:4" x14ac:dyDescent="0.25">
      <c r="C71" s="8" t="s">
        <v>30</v>
      </c>
      <c r="D71" s="9" t="s">
        <v>29</v>
      </c>
    </row>
    <row r="72" spans="3:4" x14ac:dyDescent="0.25">
      <c r="C72" s="8" t="s">
        <v>28</v>
      </c>
      <c r="D72" s="9" t="s">
        <v>27</v>
      </c>
    </row>
    <row r="73" spans="3:4" x14ac:dyDescent="0.25">
      <c r="C73" s="8" t="s">
        <v>1412</v>
      </c>
      <c r="D73" s="9" t="s">
        <v>1413</v>
      </c>
    </row>
    <row r="74" spans="3:4" x14ac:dyDescent="0.25">
      <c r="C74" s="8" t="s">
        <v>34</v>
      </c>
      <c r="D74" s="9" t="s">
        <v>33</v>
      </c>
    </row>
    <row r="75" spans="3:4" x14ac:dyDescent="0.25">
      <c r="C75" s="8" t="s">
        <v>269</v>
      </c>
      <c r="D75" s="9" t="s">
        <v>268</v>
      </c>
    </row>
    <row r="76" spans="3:4" x14ac:dyDescent="0.25">
      <c r="C76" s="8" t="s">
        <v>1414</v>
      </c>
      <c r="D76" s="9" t="s">
        <v>1415</v>
      </c>
    </row>
    <row r="77" spans="3:4" x14ac:dyDescent="0.25">
      <c r="C77" s="8" t="s">
        <v>145</v>
      </c>
      <c r="D77" s="9" t="s">
        <v>144</v>
      </c>
    </row>
    <row r="78" spans="3:4" x14ac:dyDescent="0.25">
      <c r="C78" s="8" t="s">
        <v>352</v>
      </c>
      <c r="D78" s="9" t="s">
        <v>1451</v>
      </c>
    </row>
    <row r="79" spans="3:4" x14ac:dyDescent="0.25">
      <c r="C79" s="8" t="s">
        <v>72</v>
      </c>
      <c r="D79" s="9" t="s">
        <v>71</v>
      </c>
    </row>
    <row r="80" spans="3:4" x14ac:dyDescent="0.25">
      <c r="C80" s="15" t="s">
        <v>32</v>
      </c>
      <c r="D80" s="16" t="s">
        <v>1514</v>
      </c>
    </row>
    <row r="81" spans="3:4" x14ac:dyDescent="0.25">
      <c r="C81" s="2" t="s">
        <v>129</v>
      </c>
      <c r="D81" s="3" t="s">
        <v>14</v>
      </c>
    </row>
    <row r="82" spans="3:4" x14ac:dyDescent="0.25">
      <c r="C82" s="2" t="s">
        <v>103</v>
      </c>
      <c r="D82" s="3" t="s">
        <v>14</v>
      </c>
    </row>
    <row r="83" spans="3:4" x14ac:dyDescent="0.25">
      <c r="C83" s="2" t="s">
        <v>212</v>
      </c>
      <c r="D83" s="3" t="s">
        <v>14</v>
      </c>
    </row>
    <row r="84" spans="3:4" x14ac:dyDescent="0.25">
      <c r="C84" s="17" t="s">
        <v>199</v>
      </c>
      <c r="D84" s="18" t="s">
        <v>14</v>
      </c>
    </row>
  </sheetData>
  <autoFilter ref="C2:D84" xr:uid="{1B16C7CF-8BF5-42E7-A019-77CA8B3413C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80CB-CEA2-4CE2-A0E9-58520A65CD6C}">
  <dimension ref="C2:H89"/>
  <sheetViews>
    <sheetView topLeftCell="C73" workbookViewId="0">
      <selection activeCell="E86" sqref="E86"/>
    </sheetView>
  </sheetViews>
  <sheetFormatPr baseColWidth="10" defaultRowHeight="15" x14ac:dyDescent="0.25"/>
  <cols>
    <col min="3" max="3" width="15" customWidth="1"/>
    <col min="4" max="4" width="80.85546875" customWidth="1"/>
    <col min="5" max="5" width="14.5703125" style="71" customWidth="1"/>
    <col min="6" max="6" width="20.5703125" customWidth="1"/>
    <col min="7" max="7" width="20" customWidth="1"/>
    <col min="8" max="8" width="16.28515625" customWidth="1"/>
  </cols>
  <sheetData>
    <row r="2" spans="3:8" s="37" customFormat="1" ht="30" x14ac:dyDescent="0.25">
      <c r="C2" s="55" t="s">
        <v>3</v>
      </c>
      <c r="D2" s="55" t="s">
        <v>3</v>
      </c>
      <c r="E2" s="69" t="s">
        <v>1668</v>
      </c>
      <c r="F2" s="54" t="s">
        <v>1666</v>
      </c>
      <c r="G2" s="54"/>
      <c r="H2" s="54" t="s">
        <v>1667</v>
      </c>
    </row>
    <row r="3" spans="3:8" x14ac:dyDescent="0.25">
      <c r="C3" s="60" t="s">
        <v>1662</v>
      </c>
      <c r="D3" s="60" t="s">
        <v>1662</v>
      </c>
      <c r="E3" s="70">
        <f>SUMIF(Compras!D:D,D3,Compras!E:E)</f>
        <v>2</v>
      </c>
      <c r="F3" s="59">
        <f>SUMIF(Compras!D:D,Hoja2!D3,Compras!F:F)</f>
        <v>2</v>
      </c>
      <c r="G3" s="72">
        <f>E3/(4*12)</f>
        <v>4.1666666666666664E-2</v>
      </c>
      <c r="H3" s="72">
        <f>F3/(4*12)</f>
        <v>4.1666666666666664E-2</v>
      </c>
    </row>
    <row r="4" spans="3:8" x14ac:dyDescent="0.25">
      <c r="C4" s="60" t="s">
        <v>19</v>
      </c>
      <c r="D4" s="60" t="s">
        <v>19</v>
      </c>
      <c r="E4" s="70">
        <f>SUMIF(Compras!D:D,D4,Compras!E:E)</f>
        <v>36</v>
      </c>
      <c r="F4" s="59">
        <f>SUMIF(Compras!D:D,Hoja2!D4,Compras!F:F)</f>
        <v>23</v>
      </c>
      <c r="G4" s="72">
        <f>E4/(4*12)</f>
        <v>0.75</v>
      </c>
      <c r="H4" s="72">
        <f t="shared" ref="H4:H67" si="0">F4/(4*12)</f>
        <v>0.47916666666666669</v>
      </c>
    </row>
    <row r="5" spans="3:8" x14ac:dyDescent="0.25">
      <c r="C5" s="60" t="s">
        <v>1601</v>
      </c>
      <c r="D5" s="60" t="s">
        <v>22</v>
      </c>
      <c r="E5" s="70">
        <f>SUMIF(Compras!D:D,D5,Compras!E:E)</f>
        <v>20</v>
      </c>
      <c r="F5" s="59">
        <f>SUMIF(Compras!D:D,Hoja2!D5,Compras!F:F)</f>
        <v>8</v>
      </c>
      <c r="G5" s="72">
        <f t="shared" ref="G5:G68" si="1">E5/(4*12)</f>
        <v>0.41666666666666669</v>
      </c>
      <c r="H5" s="72">
        <f t="shared" si="0"/>
        <v>0.16666666666666666</v>
      </c>
    </row>
    <row r="6" spans="3:8" x14ac:dyDescent="0.25">
      <c r="C6" s="60" t="s">
        <v>1631</v>
      </c>
      <c r="D6" s="60" t="s">
        <v>28</v>
      </c>
      <c r="E6" s="70">
        <f>SUMIF(Compras!D:D,D6,Compras!E:E)</f>
        <v>40</v>
      </c>
      <c r="F6" s="59">
        <f>SUMIF(Compras!D:D,Hoja2!D6,Compras!F:F)</f>
        <v>28</v>
      </c>
      <c r="G6" s="72">
        <f t="shared" si="1"/>
        <v>0.83333333333333337</v>
      </c>
      <c r="H6" s="72">
        <f t="shared" si="0"/>
        <v>0.58333333333333337</v>
      </c>
    </row>
    <row r="7" spans="3:8" x14ac:dyDescent="0.25">
      <c r="C7" s="60" t="s">
        <v>1632</v>
      </c>
      <c r="D7" s="60" t="s">
        <v>30</v>
      </c>
      <c r="E7" s="70">
        <f>SUMIF(Compras!D:D,D7,Compras!E:E)</f>
        <v>127</v>
      </c>
      <c r="F7" s="59">
        <f>SUMIF(Compras!D:D,Hoja2!D7,Compras!F:F)</f>
        <v>96</v>
      </c>
      <c r="G7" s="72">
        <f t="shared" si="1"/>
        <v>2.6458333333333335</v>
      </c>
      <c r="H7" s="72">
        <f t="shared" si="0"/>
        <v>2</v>
      </c>
    </row>
    <row r="8" spans="3:8" x14ac:dyDescent="0.25">
      <c r="C8" s="60" t="s">
        <v>1607</v>
      </c>
      <c r="D8" s="60" t="s">
        <v>32</v>
      </c>
      <c r="E8" s="70">
        <f>SUMIF(Compras!D:D,D8,Compras!E:E)</f>
        <v>25</v>
      </c>
      <c r="F8" s="59">
        <f>SUMIF(Compras!D:D,Hoja2!D8,Compras!F:F)</f>
        <v>8</v>
      </c>
      <c r="G8" s="72">
        <f t="shared" si="1"/>
        <v>0.52083333333333337</v>
      </c>
      <c r="H8" s="72">
        <f t="shared" si="0"/>
        <v>0.16666666666666666</v>
      </c>
    </row>
    <row r="9" spans="3:8" x14ac:dyDescent="0.25">
      <c r="C9" s="60" t="s">
        <v>1646</v>
      </c>
      <c r="D9" s="60" t="s">
        <v>34</v>
      </c>
      <c r="E9" s="70">
        <f>SUMIF(Compras!D:D,D9,Compras!E:E)</f>
        <v>11</v>
      </c>
      <c r="F9" s="59">
        <f>SUMIF(Compras!D:D,Hoja2!D9,Compras!F:F)</f>
        <v>8</v>
      </c>
      <c r="G9" s="72">
        <f t="shared" si="1"/>
        <v>0.22916666666666666</v>
      </c>
      <c r="H9" s="72">
        <f t="shared" si="0"/>
        <v>0.16666666666666666</v>
      </c>
    </row>
    <row r="10" spans="3:8" x14ac:dyDescent="0.25">
      <c r="C10" s="60" t="s">
        <v>1602</v>
      </c>
      <c r="D10" s="60" t="s">
        <v>35</v>
      </c>
      <c r="E10" s="70">
        <f>SUMIF(Compras!D:D,D10,Compras!E:E)</f>
        <v>2</v>
      </c>
      <c r="F10" s="59">
        <f>SUMIF(Compras!D:D,Hoja2!D10,Compras!F:F)</f>
        <v>2</v>
      </c>
      <c r="G10" s="72">
        <f t="shared" si="1"/>
        <v>4.1666666666666664E-2</v>
      </c>
      <c r="H10" s="72">
        <f t="shared" si="0"/>
        <v>4.1666666666666664E-2</v>
      </c>
    </row>
    <row r="11" spans="3:8" x14ac:dyDescent="0.25">
      <c r="C11" s="60" t="s">
        <v>1603</v>
      </c>
      <c r="D11" s="60" t="s">
        <v>1663</v>
      </c>
      <c r="E11" s="70">
        <f>SUMIF(Compras!D:D,D11,Compras!E:E)</f>
        <v>43</v>
      </c>
      <c r="F11" s="59">
        <f>SUMIF(Compras!D:D,Hoja2!D11,Compras!F:F)</f>
        <v>20</v>
      </c>
      <c r="G11" s="72">
        <f t="shared" si="1"/>
        <v>0.89583333333333337</v>
      </c>
      <c r="H11" s="72">
        <f t="shared" si="0"/>
        <v>0.41666666666666669</v>
      </c>
    </row>
    <row r="12" spans="3:8" x14ac:dyDescent="0.25">
      <c r="C12" s="60" t="s">
        <v>1604</v>
      </c>
      <c r="D12" s="60" t="s">
        <v>39</v>
      </c>
      <c r="E12" s="70">
        <f>SUMIF(Compras!D:D,D12,Compras!E:E)</f>
        <v>37</v>
      </c>
      <c r="F12" s="59">
        <f>SUMIF(Compras!D:D,Hoja2!D12,Compras!F:F)</f>
        <v>17</v>
      </c>
      <c r="G12" s="72">
        <f t="shared" si="1"/>
        <v>0.77083333333333337</v>
      </c>
      <c r="H12" s="72">
        <f t="shared" si="0"/>
        <v>0.35416666666666669</v>
      </c>
    </row>
    <row r="13" spans="3:8" x14ac:dyDescent="0.25">
      <c r="C13" s="60" t="s">
        <v>44</v>
      </c>
      <c r="D13" s="60" t="s">
        <v>44</v>
      </c>
      <c r="E13" s="70">
        <f>SUMIF(Compras!D:D,D13,Compras!E:E)</f>
        <v>58</v>
      </c>
      <c r="F13" s="59">
        <f>SUMIF(Compras!D:D,Hoja2!D13,Compras!F:F)</f>
        <v>25</v>
      </c>
      <c r="G13" s="72">
        <f t="shared" si="1"/>
        <v>1.2083333333333333</v>
      </c>
      <c r="H13" s="72">
        <f t="shared" si="0"/>
        <v>0.52083333333333337</v>
      </c>
    </row>
    <row r="14" spans="3:8" x14ac:dyDescent="0.25">
      <c r="C14" s="60" t="s">
        <v>1633</v>
      </c>
      <c r="D14" s="60" t="s">
        <v>47</v>
      </c>
      <c r="E14" s="70">
        <f>SUMIF(Compras!D:D,D14,Compras!E:E)</f>
        <v>88</v>
      </c>
      <c r="F14" s="59">
        <f>SUMIF(Compras!D:D,Hoja2!D14,Compras!F:F)</f>
        <v>59</v>
      </c>
      <c r="G14" s="72">
        <f t="shared" si="1"/>
        <v>1.8333333333333333</v>
      </c>
      <c r="H14" s="72">
        <f t="shared" si="0"/>
        <v>1.2291666666666667</v>
      </c>
    </row>
    <row r="15" spans="3:8" x14ac:dyDescent="0.25">
      <c r="C15" s="60" t="s">
        <v>1634</v>
      </c>
      <c r="D15" s="60" t="s">
        <v>52</v>
      </c>
      <c r="E15" s="70">
        <f>SUMIF(Compras!D:D,D15,Compras!E:E)</f>
        <v>17</v>
      </c>
      <c r="F15" s="59">
        <f>SUMIF(Compras!D:D,Hoja2!D15,Compras!F:F)</f>
        <v>17</v>
      </c>
      <c r="G15" s="72">
        <f t="shared" si="1"/>
        <v>0.35416666666666669</v>
      </c>
      <c r="H15" s="72">
        <f t="shared" si="0"/>
        <v>0.35416666666666669</v>
      </c>
    </row>
    <row r="16" spans="3:8" x14ac:dyDescent="0.25">
      <c r="C16" s="60" t="s">
        <v>1635</v>
      </c>
      <c r="D16" s="60" t="s">
        <v>54</v>
      </c>
      <c r="E16" s="70">
        <f>SUMIF(Compras!D:D,D16,Compras!E:E)</f>
        <v>19</v>
      </c>
      <c r="F16" s="59">
        <f>SUMIF(Compras!D:D,Hoja2!D16,Compras!F:F)</f>
        <v>12</v>
      </c>
      <c r="G16" s="72">
        <f t="shared" si="1"/>
        <v>0.39583333333333331</v>
      </c>
      <c r="H16" s="72">
        <f t="shared" si="0"/>
        <v>0.25</v>
      </c>
    </row>
    <row r="17" spans="3:8" x14ac:dyDescent="0.25">
      <c r="C17" s="60" t="s">
        <v>61</v>
      </c>
      <c r="D17" s="60" t="s">
        <v>61</v>
      </c>
      <c r="E17" s="70">
        <f>SUMIF(Compras!D:D,D17,Compras!E:E)</f>
        <v>14</v>
      </c>
      <c r="F17" s="59">
        <f>SUMIF(Compras!D:D,Hoja2!D17,Compras!F:F)</f>
        <v>7</v>
      </c>
      <c r="G17" s="72">
        <f t="shared" si="1"/>
        <v>0.29166666666666669</v>
      </c>
      <c r="H17" s="72">
        <f t="shared" si="0"/>
        <v>0.14583333333333334</v>
      </c>
    </row>
    <row r="18" spans="3:8" x14ac:dyDescent="0.25">
      <c r="C18" s="60" t="s">
        <v>1636</v>
      </c>
      <c r="D18" s="60" t="s">
        <v>66</v>
      </c>
      <c r="E18" s="70">
        <f>SUMIF(Compras!D:D,D18,Compras!E:E)</f>
        <v>28</v>
      </c>
      <c r="F18" s="59">
        <f>SUMIF(Compras!D:D,Hoja2!D18,Compras!F:F)</f>
        <v>23</v>
      </c>
      <c r="G18" s="72">
        <f t="shared" si="1"/>
        <v>0.58333333333333337</v>
      </c>
      <c r="H18" s="72">
        <f t="shared" si="0"/>
        <v>0.47916666666666669</v>
      </c>
    </row>
    <row r="19" spans="3:8" x14ac:dyDescent="0.25">
      <c r="C19" s="60" t="s">
        <v>69</v>
      </c>
      <c r="D19" s="60" t="s">
        <v>69</v>
      </c>
      <c r="E19" s="70">
        <f>SUMIF(Compras!D:D,D19,Compras!E:E)</f>
        <v>13</v>
      </c>
      <c r="F19" s="59">
        <f>SUMIF(Compras!D:D,Hoja2!D19,Compras!F:F)</f>
        <v>6</v>
      </c>
      <c r="G19" s="72">
        <f t="shared" si="1"/>
        <v>0.27083333333333331</v>
      </c>
      <c r="H19" s="72">
        <f t="shared" si="0"/>
        <v>0.125</v>
      </c>
    </row>
    <row r="20" spans="3:8" x14ac:dyDescent="0.25">
      <c r="C20" s="60" t="s">
        <v>1605</v>
      </c>
      <c r="D20" s="60" t="s">
        <v>1605</v>
      </c>
      <c r="E20" s="70">
        <f>SUMIF(Compras!D:D,D20,Compras!E:E)</f>
        <v>0</v>
      </c>
      <c r="F20" s="59">
        <f>SUMIF(Compras!D:D,Hoja2!D20,Compras!F:F)</f>
        <v>0</v>
      </c>
      <c r="G20" s="72">
        <f t="shared" si="1"/>
        <v>0</v>
      </c>
      <c r="H20" s="72">
        <f t="shared" si="0"/>
        <v>0</v>
      </c>
    </row>
    <row r="21" spans="3:8" x14ac:dyDescent="0.25">
      <c r="C21" s="60" t="s">
        <v>1651</v>
      </c>
      <c r="D21" s="60" t="s">
        <v>75</v>
      </c>
      <c r="E21" s="70">
        <f>SUMIF(Compras!D:D,D21,Compras!E:E)</f>
        <v>1</v>
      </c>
      <c r="F21" s="59">
        <f>SUMIF(Compras!D:D,Hoja2!D21,Compras!F:F)</f>
        <v>1</v>
      </c>
      <c r="G21" s="72">
        <f t="shared" si="1"/>
        <v>2.0833333333333332E-2</v>
      </c>
      <c r="H21" s="72">
        <f t="shared" si="0"/>
        <v>2.0833333333333332E-2</v>
      </c>
    </row>
    <row r="22" spans="3:8" x14ac:dyDescent="0.25">
      <c r="C22" s="60" t="s">
        <v>1606</v>
      </c>
      <c r="D22" s="60" t="s">
        <v>82</v>
      </c>
      <c r="E22" s="70">
        <f>SUMIF(Compras!D:D,D22,Compras!E:E)</f>
        <v>58</v>
      </c>
      <c r="F22" s="59">
        <f>SUMIF(Compras!D:D,Hoja2!D22,Compras!F:F)</f>
        <v>34</v>
      </c>
      <c r="G22" s="72">
        <f t="shared" si="1"/>
        <v>1.2083333333333333</v>
      </c>
      <c r="H22" s="72">
        <f t="shared" si="0"/>
        <v>0.70833333333333337</v>
      </c>
    </row>
    <row r="23" spans="3:8" x14ac:dyDescent="0.25">
      <c r="C23" s="60" t="s">
        <v>1637</v>
      </c>
      <c r="D23" s="60" t="s">
        <v>85</v>
      </c>
      <c r="E23" s="70">
        <f>SUMIF(Compras!D:D,D23,Compras!E:E)</f>
        <v>19</v>
      </c>
      <c r="F23" s="59">
        <f>SUMIF(Compras!D:D,Hoja2!D23,Compras!F:F)</f>
        <v>9</v>
      </c>
      <c r="G23" s="72">
        <f t="shared" si="1"/>
        <v>0.39583333333333331</v>
      </c>
      <c r="H23" s="72">
        <f t="shared" si="0"/>
        <v>0.1875</v>
      </c>
    </row>
    <row r="24" spans="3:8" x14ac:dyDescent="0.25">
      <c r="C24" s="60" t="s">
        <v>93</v>
      </c>
      <c r="D24" s="60" t="s">
        <v>93</v>
      </c>
      <c r="E24" s="70">
        <f>SUMIF(Compras!D:D,D24,Compras!E:E)</f>
        <v>37</v>
      </c>
      <c r="F24" s="59">
        <f>SUMIF(Compras!D:D,Hoja2!D24,Compras!F:F)</f>
        <v>22</v>
      </c>
      <c r="G24" s="72">
        <f t="shared" si="1"/>
        <v>0.77083333333333337</v>
      </c>
      <c r="H24" s="72">
        <f t="shared" si="0"/>
        <v>0.45833333333333331</v>
      </c>
    </row>
    <row r="25" spans="3:8" x14ac:dyDescent="0.25">
      <c r="C25" s="60" t="s">
        <v>98</v>
      </c>
      <c r="D25" s="60" t="s">
        <v>98</v>
      </c>
      <c r="E25" s="70">
        <f>SUMIF(Compras!D:D,D25,Compras!E:E)</f>
        <v>2</v>
      </c>
      <c r="F25" s="59">
        <f>SUMIF(Compras!D:D,Hoja2!D25,Compras!F:F)</f>
        <v>2</v>
      </c>
      <c r="G25" s="72">
        <f t="shared" si="1"/>
        <v>4.1666666666666664E-2</v>
      </c>
      <c r="H25" s="72">
        <f t="shared" si="0"/>
        <v>4.1666666666666664E-2</v>
      </c>
    </row>
    <row r="26" spans="3:8" x14ac:dyDescent="0.25">
      <c r="C26" s="60" t="s">
        <v>1638</v>
      </c>
      <c r="D26" s="60" t="s">
        <v>280</v>
      </c>
      <c r="E26" s="70">
        <f>SUMIF(Compras!D:D,D26,Compras!E:E)</f>
        <v>3</v>
      </c>
      <c r="F26" s="59">
        <f>SUMIF(Compras!D:D,Hoja2!D26,Compras!F:F)</f>
        <v>3</v>
      </c>
      <c r="G26" s="72">
        <f t="shared" si="1"/>
        <v>6.25E-2</v>
      </c>
      <c r="H26" s="72">
        <f t="shared" si="0"/>
        <v>6.25E-2</v>
      </c>
    </row>
    <row r="27" spans="3:8" x14ac:dyDescent="0.25">
      <c r="C27" s="60" t="s">
        <v>1647</v>
      </c>
      <c r="D27" s="60" t="s">
        <v>122</v>
      </c>
      <c r="E27" s="70">
        <f>SUMIF(Compras!D:D,D27,Compras!E:E)</f>
        <v>32</v>
      </c>
      <c r="F27" s="59">
        <f>SUMIF(Compras!D:D,Hoja2!D27,Compras!F:F)</f>
        <v>23</v>
      </c>
      <c r="G27" s="72">
        <f t="shared" si="1"/>
        <v>0.66666666666666663</v>
      </c>
      <c r="H27" s="72">
        <f t="shared" si="0"/>
        <v>0.47916666666666669</v>
      </c>
    </row>
    <row r="28" spans="3:8" x14ac:dyDescent="0.25">
      <c r="C28" s="60" t="s">
        <v>127</v>
      </c>
      <c r="D28" s="60" t="s">
        <v>127</v>
      </c>
      <c r="E28" s="70">
        <f>SUMIF(Compras!D:D,D28,Compras!E:E)</f>
        <v>17</v>
      </c>
      <c r="F28" s="59">
        <f>SUMIF(Compras!D:D,Hoja2!D28,Compras!F:F)</f>
        <v>22</v>
      </c>
      <c r="G28" s="72">
        <f t="shared" si="1"/>
        <v>0.35416666666666669</v>
      </c>
      <c r="H28" s="72">
        <f t="shared" si="0"/>
        <v>0.45833333333333331</v>
      </c>
    </row>
    <row r="29" spans="3:8" x14ac:dyDescent="0.25">
      <c r="C29" s="60" t="s">
        <v>1621</v>
      </c>
      <c r="D29" s="60" t="s">
        <v>1608</v>
      </c>
      <c r="E29" s="70">
        <f>SUMIF(Compras!D:D,D29,Compras!E:E)</f>
        <v>0</v>
      </c>
      <c r="F29" s="59">
        <f>SUMIF(Compras!D:D,Hoja2!D29,Compras!F:F)</f>
        <v>0</v>
      </c>
      <c r="G29" s="72">
        <f t="shared" si="1"/>
        <v>0</v>
      </c>
      <c r="H29" s="72">
        <f t="shared" si="0"/>
        <v>0</v>
      </c>
    </row>
    <row r="30" spans="3:8" x14ac:dyDescent="0.25">
      <c r="C30" s="60" t="s">
        <v>1639</v>
      </c>
      <c r="D30" s="60" t="s">
        <v>132</v>
      </c>
      <c r="E30" s="70">
        <f>SUMIF(Compras!D:D,D30,Compras!E:E)</f>
        <v>16</v>
      </c>
      <c r="F30" s="59">
        <f>SUMIF(Compras!D:D,Hoja2!D30,Compras!F:F)</f>
        <v>14</v>
      </c>
      <c r="G30" s="72">
        <f t="shared" si="1"/>
        <v>0.33333333333333331</v>
      </c>
      <c r="H30" s="72">
        <f t="shared" si="0"/>
        <v>0.29166666666666669</v>
      </c>
    </row>
    <row r="31" spans="3:8" x14ac:dyDescent="0.25">
      <c r="C31" s="60" t="s">
        <v>1609</v>
      </c>
      <c r="D31" s="60" t="s">
        <v>145</v>
      </c>
      <c r="E31" s="70">
        <f>SUMIF(Compras!D:D,D31,Compras!E:E)</f>
        <v>24</v>
      </c>
      <c r="F31" s="59">
        <f>SUMIF(Compras!D:D,Hoja2!D31,Compras!F:F)</f>
        <v>10</v>
      </c>
      <c r="G31" s="72">
        <f t="shared" si="1"/>
        <v>0.5</v>
      </c>
      <c r="H31" s="72">
        <f t="shared" si="0"/>
        <v>0.20833333333333334</v>
      </c>
    </row>
    <row r="32" spans="3:8" x14ac:dyDescent="0.25">
      <c r="C32" s="60" t="s">
        <v>1649</v>
      </c>
      <c r="D32" s="60" t="s">
        <v>154</v>
      </c>
      <c r="E32" s="70">
        <f>SUMIF(Compras!D:D,D32,Compras!E:E)</f>
        <v>29</v>
      </c>
      <c r="F32" s="59">
        <f>SUMIF(Compras!D:D,Hoja2!D32,Compras!F:F)</f>
        <v>0</v>
      </c>
      <c r="G32" s="72">
        <f t="shared" si="1"/>
        <v>0.60416666666666663</v>
      </c>
      <c r="H32" s="72">
        <f t="shared" si="0"/>
        <v>0</v>
      </c>
    </row>
    <row r="33" spans="3:8" x14ac:dyDescent="0.25">
      <c r="C33" s="60" t="s">
        <v>1640</v>
      </c>
      <c r="D33" s="60" t="s">
        <v>157</v>
      </c>
      <c r="E33" s="70">
        <f>SUMIF(Compras!D:D,D33,Compras!E:E)</f>
        <v>9</v>
      </c>
      <c r="F33" s="59">
        <f>SUMIF(Compras!D:D,Hoja2!D33,Compras!F:F)</f>
        <v>5</v>
      </c>
      <c r="G33" s="72">
        <f t="shared" si="1"/>
        <v>0.1875</v>
      </c>
      <c r="H33" s="72">
        <f t="shared" si="0"/>
        <v>0.10416666666666667</v>
      </c>
    </row>
    <row r="34" spans="3:8" x14ac:dyDescent="0.25">
      <c r="C34" s="60" t="s">
        <v>1610</v>
      </c>
      <c r="D34" s="60" t="s">
        <v>167</v>
      </c>
      <c r="E34" s="70">
        <f>SUMIF(Compras!D:D,D34,Compras!E:E)</f>
        <v>9</v>
      </c>
      <c r="F34" s="59">
        <f>SUMIF(Compras!D:D,Hoja2!D34,Compras!F:F)</f>
        <v>7</v>
      </c>
      <c r="G34" s="72">
        <f t="shared" si="1"/>
        <v>0.1875</v>
      </c>
      <c r="H34" s="72">
        <f t="shared" si="0"/>
        <v>0.14583333333333334</v>
      </c>
    </row>
    <row r="35" spans="3:8" x14ac:dyDescent="0.25">
      <c r="C35" s="60" t="s">
        <v>183</v>
      </c>
      <c r="D35" s="60" t="s">
        <v>183</v>
      </c>
      <c r="E35" s="70">
        <f>SUMIF(Compras!D:D,D35,Compras!E:E)</f>
        <v>3</v>
      </c>
      <c r="F35" s="59">
        <f>SUMIF(Compras!D:D,Hoja2!D35,Compras!F:F)</f>
        <v>3</v>
      </c>
      <c r="G35" s="72">
        <f t="shared" si="1"/>
        <v>6.25E-2</v>
      </c>
      <c r="H35" s="72">
        <f t="shared" si="0"/>
        <v>6.25E-2</v>
      </c>
    </row>
    <row r="36" spans="3:8" x14ac:dyDescent="0.25">
      <c r="C36" s="60" t="s">
        <v>186</v>
      </c>
      <c r="D36" s="60" t="s">
        <v>186</v>
      </c>
      <c r="E36" s="70">
        <f>SUMIF(Compras!D:D,D36,Compras!E:E)</f>
        <v>15</v>
      </c>
      <c r="F36" s="59">
        <f>SUMIF(Compras!D:D,Hoja2!D36,Compras!F:F)</f>
        <v>7</v>
      </c>
      <c r="G36" s="72">
        <f t="shared" si="1"/>
        <v>0.3125</v>
      </c>
      <c r="H36" s="72">
        <f t="shared" si="0"/>
        <v>0.14583333333333334</v>
      </c>
    </row>
    <row r="37" spans="3:8" x14ac:dyDescent="0.25">
      <c r="C37" s="60" t="s">
        <v>1611</v>
      </c>
      <c r="D37" s="60" t="s">
        <v>189</v>
      </c>
      <c r="E37" s="70">
        <f>SUMIF(Compras!D:D,D37,Compras!E:E)</f>
        <v>4</v>
      </c>
      <c r="F37" s="59">
        <f>SUMIF(Compras!D:D,Hoja2!D37,Compras!F:F)</f>
        <v>4</v>
      </c>
      <c r="G37" s="72">
        <f t="shared" si="1"/>
        <v>8.3333333333333329E-2</v>
      </c>
      <c r="H37" s="72">
        <f t="shared" si="0"/>
        <v>8.3333333333333329E-2</v>
      </c>
    </row>
    <row r="38" spans="3:8" x14ac:dyDescent="0.25">
      <c r="C38" s="60" t="s">
        <v>1612</v>
      </c>
      <c r="D38" s="60" t="s">
        <v>191</v>
      </c>
      <c r="E38" s="70">
        <f>SUMIF(Compras!D:D,D38,Compras!E:E)</f>
        <v>2</v>
      </c>
      <c r="F38" s="59">
        <f>SUMIF(Compras!D:D,Hoja2!D38,Compras!F:F)</f>
        <v>2</v>
      </c>
      <c r="G38" s="72">
        <f t="shared" si="1"/>
        <v>4.1666666666666664E-2</v>
      </c>
      <c r="H38" s="72">
        <f t="shared" si="0"/>
        <v>4.1666666666666664E-2</v>
      </c>
    </row>
    <row r="39" spans="3:8" x14ac:dyDescent="0.25">
      <c r="C39" s="60" t="s">
        <v>1613</v>
      </c>
      <c r="D39" s="60" t="s">
        <v>193</v>
      </c>
      <c r="E39" s="70">
        <f>SUMIF(Compras!D:D,D39,Compras!E:E)</f>
        <v>4</v>
      </c>
      <c r="F39" s="59">
        <f>SUMIF(Compras!D:D,Hoja2!D39,Compras!F:F)</f>
        <v>5</v>
      </c>
      <c r="G39" s="72">
        <f t="shared" si="1"/>
        <v>8.3333333333333329E-2</v>
      </c>
      <c r="H39" s="72">
        <f t="shared" si="0"/>
        <v>0.10416666666666667</v>
      </c>
    </row>
    <row r="40" spans="3:8" x14ac:dyDescent="0.25">
      <c r="C40" s="60" t="s">
        <v>1652</v>
      </c>
      <c r="D40" s="60" t="s">
        <v>219</v>
      </c>
      <c r="E40" s="70">
        <f>SUMIF(Compras!D:D,D40,Compras!E:E)</f>
        <v>1</v>
      </c>
      <c r="F40" s="59">
        <f>SUMIF(Compras!D:D,Hoja2!D40,Compras!F:F)</f>
        <v>0</v>
      </c>
      <c r="G40" s="72">
        <f t="shared" si="1"/>
        <v>2.0833333333333332E-2</v>
      </c>
      <c r="H40" s="72">
        <f t="shared" si="0"/>
        <v>0</v>
      </c>
    </row>
    <row r="41" spans="3:8" x14ac:dyDescent="0.25">
      <c r="C41" s="60" t="s">
        <v>1653</v>
      </c>
      <c r="D41" s="60" t="s">
        <v>206</v>
      </c>
      <c r="E41" s="70">
        <f>SUMIF(Compras!D:D,D41,Compras!E:E)</f>
        <v>1</v>
      </c>
      <c r="F41" s="59">
        <f>SUMIF(Compras!D:D,Hoja2!D41,Compras!F:F)</f>
        <v>1</v>
      </c>
      <c r="G41" s="72">
        <f t="shared" si="1"/>
        <v>2.0833333333333332E-2</v>
      </c>
      <c r="H41" s="72">
        <f t="shared" si="0"/>
        <v>2.0833333333333332E-2</v>
      </c>
    </row>
    <row r="42" spans="3:8" x14ac:dyDescent="0.25">
      <c r="C42" s="60" t="s">
        <v>1622</v>
      </c>
      <c r="D42" s="60" t="s">
        <v>1664</v>
      </c>
      <c r="E42" s="70">
        <f>SUMIF(Compras!D:D,D42,Compras!E:E)</f>
        <v>0</v>
      </c>
      <c r="F42" s="59">
        <f>SUMIF(Compras!D:D,Hoja2!D42,Compras!F:F)</f>
        <v>0</v>
      </c>
      <c r="G42" s="72">
        <f t="shared" si="1"/>
        <v>0</v>
      </c>
      <c r="H42" s="72">
        <f t="shared" si="0"/>
        <v>0</v>
      </c>
    </row>
    <row r="43" spans="3:8" x14ac:dyDescent="0.25">
      <c r="C43" s="60" t="s">
        <v>1650</v>
      </c>
      <c r="D43" s="60" t="s">
        <v>212</v>
      </c>
      <c r="E43" s="70">
        <f>SUMIF(Compras!D:D,D43,Compras!E:E)</f>
        <v>2</v>
      </c>
      <c r="F43" s="59">
        <f>SUMIF(Compras!D:D,Hoja2!D43,Compras!F:F)</f>
        <v>2</v>
      </c>
      <c r="G43" s="72">
        <f t="shared" si="1"/>
        <v>4.1666666666666664E-2</v>
      </c>
      <c r="H43" s="72">
        <f t="shared" si="0"/>
        <v>4.1666666666666664E-2</v>
      </c>
    </row>
    <row r="44" spans="3:8" x14ac:dyDescent="0.25">
      <c r="C44" s="60" t="s">
        <v>1654</v>
      </c>
      <c r="D44" s="60" t="s">
        <v>220</v>
      </c>
      <c r="E44" s="70">
        <f>SUMIF(Compras!D:D,D44,Compras!E:E)</f>
        <v>16</v>
      </c>
      <c r="F44" s="59">
        <f>SUMIF(Compras!D:D,Hoja2!D44,Compras!F:F)</f>
        <v>0</v>
      </c>
      <c r="G44" s="72">
        <f t="shared" si="1"/>
        <v>0.33333333333333331</v>
      </c>
      <c r="H44" s="72">
        <f t="shared" si="0"/>
        <v>0</v>
      </c>
    </row>
    <row r="45" spans="3:8" x14ac:dyDescent="0.25">
      <c r="C45" s="60" t="s">
        <v>1614</v>
      </c>
      <c r="D45" s="60" t="s">
        <v>222</v>
      </c>
      <c r="E45" s="70">
        <f>SUMIF(Compras!D:D,D45,Compras!E:E)</f>
        <v>9</v>
      </c>
      <c r="F45" s="59">
        <f>SUMIF(Compras!D:D,Hoja2!D45,Compras!F:F)</f>
        <v>0</v>
      </c>
      <c r="G45" s="72">
        <f t="shared" si="1"/>
        <v>0.1875</v>
      </c>
      <c r="H45" s="72">
        <f t="shared" si="0"/>
        <v>0</v>
      </c>
    </row>
    <row r="46" spans="3:8" x14ac:dyDescent="0.25">
      <c r="C46" s="60" t="s">
        <v>1615</v>
      </c>
      <c r="D46" s="60" t="s">
        <v>222</v>
      </c>
      <c r="E46" s="70">
        <f>SUMIF(Compras!D:D,D46,Compras!E:E)</f>
        <v>9</v>
      </c>
      <c r="F46" s="59">
        <f>SUMIF(Compras!D:D,Hoja2!D46,Compras!F:F)</f>
        <v>0</v>
      </c>
      <c r="G46" s="72">
        <f t="shared" si="1"/>
        <v>0.1875</v>
      </c>
      <c r="H46" s="72">
        <f t="shared" si="0"/>
        <v>0</v>
      </c>
    </row>
    <row r="47" spans="3:8" x14ac:dyDescent="0.25">
      <c r="C47" s="60" t="s">
        <v>1616</v>
      </c>
      <c r="D47" s="60" t="s">
        <v>222</v>
      </c>
      <c r="E47" s="70">
        <f>SUMIF(Compras!D:D,D47,Compras!E:E)</f>
        <v>9</v>
      </c>
      <c r="F47" s="59">
        <f>SUMIF(Compras!D:D,Hoja2!D47,Compras!F:F)</f>
        <v>0</v>
      </c>
      <c r="G47" s="72">
        <f t="shared" si="1"/>
        <v>0.1875</v>
      </c>
      <c r="H47" s="72">
        <f t="shared" si="0"/>
        <v>0</v>
      </c>
    </row>
    <row r="48" spans="3:8" x14ac:dyDescent="0.25">
      <c r="C48" s="60" t="s">
        <v>1617</v>
      </c>
      <c r="D48" s="60" t="s">
        <v>224</v>
      </c>
      <c r="E48" s="70">
        <f>SUMIF(Compras!D:D,D48,Compras!E:E)</f>
        <v>2</v>
      </c>
      <c r="F48" s="59">
        <f>SUMIF(Compras!D:D,Hoja2!D48,Compras!F:F)</f>
        <v>0</v>
      </c>
      <c r="G48" s="72">
        <f t="shared" si="1"/>
        <v>4.1666666666666664E-2</v>
      </c>
      <c r="H48" s="72">
        <f t="shared" si="0"/>
        <v>0</v>
      </c>
    </row>
    <row r="49" spans="3:8" x14ac:dyDescent="0.25">
      <c r="C49" s="60" t="s">
        <v>1641</v>
      </c>
      <c r="D49" s="60" t="s">
        <v>225</v>
      </c>
      <c r="E49" s="70">
        <f>SUMIF(Compras!D:D,D49,Compras!E:E)</f>
        <v>4</v>
      </c>
      <c r="F49" s="59">
        <f>SUMIF(Compras!D:D,Hoja2!D49,Compras!F:F)</f>
        <v>0</v>
      </c>
      <c r="G49" s="72">
        <f t="shared" si="1"/>
        <v>8.3333333333333329E-2</v>
      </c>
      <c r="H49" s="72">
        <f t="shared" si="0"/>
        <v>0</v>
      </c>
    </row>
    <row r="50" spans="3:8" x14ac:dyDescent="0.25">
      <c r="C50" s="60" t="s">
        <v>1642</v>
      </c>
      <c r="D50" s="60" t="s">
        <v>227</v>
      </c>
      <c r="E50" s="70">
        <f>SUMIF(Compras!D:D,D50,Compras!E:E)</f>
        <v>4</v>
      </c>
      <c r="F50" s="59">
        <f>SUMIF(Compras!D:D,Hoja2!D50,Compras!F:F)</f>
        <v>0</v>
      </c>
      <c r="G50" s="72">
        <f t="shared" si="1"/>
        <v>8.3333333333333329E-2</v>
      </c>
      <c r="H50" s="72">
        <f t="shared" si="0"/>
        <v>0</v>
      </c>
    </row>
    <row r="51" spans="3:8" x14ac:dyDescent="0.25">
      <c r="C51" s="60" t="s">
        <v>1643</v>
      </c>
      <c r="D51" s="60" t="s">
        <v>229</v>
      </c>
      <c r="E51" s="70">
        <f>SUMIF(Compras!D:D,D51,Compras!E:E)</f>
        <v>18</v>
      </c>
      <c r="F51" s="59">
        <f>SUMIF(Compras!D:D,Hoja2!D51,Compras!F:F)</f>
        <v>18</v>
      </c>
      <c r="G51" s="72">
        <f t="shared" si="1"/>
        <v>0.375</v>
      </c>
      <c r="H51" s="72">
        <f t="shared" si="0"/>
        <v>0.375</v>
      </c>
    </row>
    <row r="52" spans="3:8" x14ac:dyDescent="0.25">
      <c r="C52" s="60" t="s">
        <v>1655</v>
      </c>
      <c r="D52" s="60" t="s">
        <v>244</v>
      </c>
      <c r="E52" s="70">
        <f>SUMIF(Compras!D:D,D52,Compras!E:E)</f>
        <v>18</v>
      </c>
      <c r="F52" s="59">
        <f>SUMIF(Compras!D:D,Hoja2!D52,Compras!F:F)</f>
        <v>21</v>
      </c>
      <c r="G52" s="72">
        <f t="shared" si="1"/>
        <v>0.375</v>
      </c>
      <c r="H52" s="72">
        <f t="shared" si="0"/>
        <v>0.4375</v>
      </c>
    </row>
    <row r="53" spans="3:8" x14ac:dyDescent="0.25">
      <c r="C53" s="60" t="s">
        <v>248</v>
      </c>
      <c r="D53" s="60" t="s">
        <v>248</v>
      </c>
      <c r="E53" s="70">
        <f>SUMIF(Compras!D:D,D53,Compras!E:E)</f>
        <v>5</v>
      </c>
      <c r="F53" s="59">
        <f>SUMIF(Compras!D:D,Hoja2!D53,Compras!F:F)</f>
        <v>5</v>
      </c>
      <c r="G53" s="72">
        <f t="shared" si="1"/>
        <v>0.10416666666666667</v>
      </c>
      <c r="H53" s="72">
        <f t="shared" si="0"/>
        <v>0.10416666666666667</v>
      </c>
    </row>
    <row r="54" spans="3:8" x14ac:dyDescent="0.25">
      <c r="C54" s="60" t="s">
        <v>1656</v>
      </c>
      <c r="D54" s="60" t="s">
        <v>250</v>
      </c>
      <c r="E54" s="70">
        <f>SUMIF(Compras!D:D,D54,Compras!E:E)</f>
        <v>5</v>
      </c>
      <c r="F54" s="59">
        <f>SUMIF(Compras!D:D,Hoja2!D54,Compras!F:F)</f>
        <v>3</v>
      </c>
      <c r="G54" s="72">
        <f t="shared" si="1"/>
        <v>0.10416666666666667</v>
      </c>
      <c r="H54" s="72">
        <f t="shared" si="0"/>
        <v>6.25E-2</v>
      </c>
    </row>
    <row r="55" spans="3:8" x14ac:dyDescent="0.25">
      <c r="C55" s="60" t="s">
        <v>252</v>
      </c>
      <c r="D55" s="60" t="s">
        <v>252</v>
      </c>
      <c r="E55" s="70">
        <f>SUMIF(Compras!D:D,D55,Compras!E:E)</f>
        <v>60</v>
      </c>
      <c r="F55" s="59">
        <f>SUMIF(Compras!D:D,Hoja2!D55,Compras!F:F)</f>
        <v>10</v>
      </c>
      <c r="G55" s="72">
        <f t="shared" si="1"/>
        <v>1.25</v>
      </c>
      <c r="H55" s="72">
        <f t="shared" si="0"/>
        <v>0.20833333333333334</v>
      </c>
    </row>
    <row r="56" spans="3:8" x14ac:dyDescent="0.25">
      <c r="C56" s="60" t="s">
        <v>1618</v>
      </c>
      <c r="D56" s="60" t="s">
        <v>1665</v>
      </c>
      <c r="E56" s="70">
        <f>SUMIF(Compras!D:D,D56,Compras!E:E)</f>
        <v>1</v>
      </c>
      <c r="F56" s="59">
        <f>SUMIF(Compras!D:D,Hoja2!D56,Compras!F:F)</f>
        <v>1</v>
      </c>
      <c r="G56" s="72">
        <f t="shared" si="1"/>
        <v>2.0833333333333332E-2</v>
      </c>
      <c r="H56" s="72">
        <f t="shared" si="0"/>
        <v>2.0833333333333332E-2</v>
      </c>
    </row>
    <row r="57" spans="3:8" x14ac:dyDescent="0.25">
      <c r="C57" s="60" t="s">
        <v>262</v>
      </c>
      <c r="D57" s="60" t="s">
        <v>262</v>
      </c>
      <c r="E57" s="70">
        <f>SUMIF(Compras!D:D,D57,Compras!E:E)</f>
        <v>5</v>
      </c>
      <c r="F57" s="59">
        <f>SUMIF(Compras!D:D,Hoja2!D57,Compras!F:F)</f>
        <v>3</v>
      </c>
      <c r="G57" s="72">
        <f t="shared" si="1"/>
        <v>0.10416666666666667</v>
      </c>
      <c r="H57" s="72">
        <f t="shared" si="0"/>
        <v>6.25E-2</v>
      </c>
    </row>
    <row r="58" spans="3:8" x14ac:dyDescent="0.25">
      <c r="C58" s="60" t="s">
        <v>265</v>
      </c>
      <c r="D58" s="60" t="s">
        <v>265</v>
      </c>
      <c r="E58" s="70">
        <f>SUMIF(Compras!D:D,D58,Compras!E:E)</f>
        <v>5</v>
      </c>
      <c r="F58" s="59">
        <f>SUMIF(Compras!D:D,Hoja2!D58,Compras!F:F)</f>
        <v>1</v>
      </c>
      <c r="G58" s="72">
        <f t="shared" si="1"/>
        <v>0.10416666666666667</v>
      </c>
      <c r="H58" s="72">
        <f t="shared" si="0"/>
        <v>2.0833333333333332E-2</v>
      </c>
    </row>
    <row r="59" spans="3:8" x14ac:dyDescent="0.25">
      <c r="C59" s="60" t="s">
        <v>1648</v>
      </c>
      <c r="D59" s="60" t="s">
        <v>34</v>
      </c>
      <c r="E59" s="70">
        <f>SUMIF(Compras!D:D,D59,Compras!E:E)</f>
        <v>11</v>
      </c>
      <c r="F59" s="59">
        <f>SUMIF(Compras!D:D,Hoja2!D59,Compras!F:F)</f>
        <v>8</v>
      </c>
      <c r="G59" s="72">
        <f t="shared" si="1"/>
        <v>0.22916666666666666</v>
      </c>
      <c r="H59" s="72">
        <f t="shared" si="0"/>
        <v>0.16666666666666666</v>
      </c>
    </row>
    <row r="60" spans="3:8" x14ac:dyDescent="0.25">
      <c r="C60" s="60" t="s">
        <v>1619</v>
      </c>
      <c r="D60" s="60" t="s">
        <v>273</v>
      </c>
      <c r="E60" s="70">
        <f>SUMIF(Compras!D:D,D60,Compras!E:E)</f>
        <v>1</v>
      </c>
      <c r="F60" s="59">
        <f>SUMIF(Compras!D:D,Hoja2!D60,Compras!F:F)</f>
        <v>1</v>
      </c>
      <c r="G60" s="72">
        <f t="shared" si="1"/>
        <v>2.0833333333333332E-2</v>
      </c>
      <c r="H60" s="72">
        <f t="shared" si="0"/>
        <v>2.0833333333333332E-2</v>
      </c>
    </row>
    <row r="61" spans="3:8" x14ac:dyDescent="0.25">
      <c r="C61" s="60" t="s">
        <v>1620</v>
      </c>
      <c r="D61" s="60" t="s">
        <v>277</v>
      </c>
      <c r="E61" s="70">
        <f>SUMIF(Compras!D:D,D61,Compras!E:E)</f>
        <v>1</v>
      </c>
      <c r="F61" s="59">
        <f>SUMIF(Compras!D:D,Hoja2!D61,Compras!F:F)</f>
        <v>1</v>
      </c>
      <c r="G61" s="72">
        <f t="shared" si="1"/>
        <v>2.0833333333333332E-2</v>
      </c>
      <c r="H61" s="72">
        <f t="shared" si="0"/>
        <v>2.0833333333333332E-2</v>
      </c>
    </row>
    <row r="62" spans="3:8" x14ac:dyDescent="0.25">
      <c r="C62" s="60" t="s">
        <v>278</v>
      </c>
      <c r="D62" s="60" t="s">
        <v>278</v>
      </c>
      <c r="E62" s="70">
        <f>SUMIF(Compras!D:D,D62,Compras!E:E)</f>
        <v>2</v>
      </c>
      <c r="F62" s="59">
        <f>SUMIF(Compras!D:D,Hoja2!D62,Compras!F:F)</f>
        <v>1</v>
      </c>
      <c r="G62" s="72">
        <f t="shared" si="1"/>
        <v>4.1666666666666664E-2</v>
      </c>
      <c r="H62" s="72">
        <f t="shared" si="0"/>
        <v>2.0833333333333332E-2</v>
      </c>
    </row>
    <row r="63" spans="3:8" x14ac:dyDescent="0.25">
      <c r="C63" s="60" t="s">
        <v>1657</v>
      </c>
      <c r="D63" s="60" t="s">
        <v>280</v>
      </c>
      <c r="E63" s="70">
        <f>SUMIF(Compras!D:D,D63,Compras!E:E)</f>
        <v>3</v>
      </c>
      <c r="F63" s="59">
        <f>SUMIF(Compras!D:D,Hoja2!D63,Compras!F:F)</f>
        <v>3</v>
      </c>
      <c r="G63" s="72">
        <f t="shared" si="1"/>
        <v>6.25E-2</v>
      </c>
      <c r="H63" s="72">
        <f t="shared" si="0"/>
        <v>6.25E-2</v>
      </c>
    </row>
    <row r="64" spans="3:8" x14ac:dyDescent="0.25">
      <c r="C64" s="60" t="s">
        <v>293</v>
      </c>
      <c r="D64" s="60" t="s">
        <v>293</v>
      </c>
      <c r="E64" s="70">
        <f>SUMIF(Compras!D:D,D64,Compras!E:E)</f>
        <v>6</v>
      </c>
      <c r="F64" s="59">
        <f>SUMIF(Compras!D:D,Hoja2!D64,Compras!F:F)</f>
        <v>3</v>
      </c>
      <c r="G64" s="72">
        <f t="shared" si="1"/>
        <v>0.125</v>
      </c>
      <c r="H64" s="72">
        <f t="shared" si="0"/>
        <v>6.25E-2</v>
      </c>
    </row>
    <row r="65" spans="3:8" x14ac:dyDescent="0.25">
      <c r="C65" s="60" t="s">
        <v>1623</v>
      </c>
      <c r="D65" s="60" t="s">
        <v>295</v>
      </c>
      <c r="E65" s="70">
        <f>SUMIF(Compras!D:D,D65,Compras!E:E)</f>
        <v>20</v>
      </c>
      <c r="F65" s="59">
        <f>SUMIF(Compras!D:D,Hoja2!D65,Compras!F:F)</f>
        <v>0</v>
      </c>
      <c r="G65" s="72">
        <f t="shared" si="1"/>
        <v>0.41666666666666669</v>
      </c>
      <c r="H65" s="72">
        <f t="shared" si="0"/>
        <v>0</v>
      </c>
    </row>
    <row r="66" spans="3:8" x14ac:dyDescent="0.25">
      <c r="C66" s="60" t="s">
        <v>297</v>
      </c>
      <c r="D66" s="60" t="s">
        <v>297</v>
      </c>
      <c r="E66" s="70">
        <f>SUMIF(Compras!D:D,D66,Compras!E:E)</f>
        <v>20</v>
      </c>
      <c r="F66" s="59">
        <f>SUMIF(Compras!D:D,Hoja2!D66,Compras!F:F)</f>
        <v>10</v>
      </c>
      <c r="G66" s="72">
        <f t="shared" si="1"/>
        <v>0.41666666666666669</v>
      </c>
      <c r="H66" s="72">
        <f t="shared" si="0"/>
        <v>0.20833333333333334</v>
      </c>
    </row>
    <row r="67" spans="3:8" x14ac:dyDescent="0.25">
      <c r="C67" s="60" t="s">
        <v>1624</v>
      </c>
      <c r="D67" s="60" t="s">
        <v>299</v>
      </c>
      <c r="E67" s="70">
        <f>SUMIF(Compras!D:D,D67,Compras!E:E)</f>
        <v>4</v>
      </c>
      <c r="F67" s="59">
        <f>SUMIF(Compras!D:D,Hoja2!D67,Compras!F:F)</f>
        <v>0</v>
      </c>
      <c r="G67" s="72">
        <f t="shared" si="1"/>
        <v>8.3333333333333329E-2</v>
      </c>
      <c r="H67" s="72">
        <f t="shared" si="0"/>
        <v>0</v>
      </c>
    </row>
    <row r="68" spans="3:8" x14ac:dyDescent="0.25">
      <c r="C68" s="60" t="s">
        <v>1644</v>
      </c>
      <c r="D68" s="60" t="s">
        <v>300</v>
      </c>
      <c r="E68" s="70">
        <f>SUMIF(Compras!D:D,D68,Compras!E:E)</f>
        <v>3</v>
      </c>
      <c r="F68" s="59">
        <f>SUMIF(Compras!D:D,Hoja2!D68,Compras!F:F)</f>
        <v>3</v>
      </c>
      <c r="G68" s="72">
        <f t="shared" si="1"/>
        <v>6.25E-2</v>
      </c>
      <c r="H68" s="72">
        <f t="shared" ref="H68:H89" si="2">F68/(4*12)</f>
        <v>6.25E-2</v>
      </c>
    </row>
    <row r="69" spans="3:8" x14ac:dyDescent="0.25">
      <c r="C69" s="60" t="s">
        <v>1625</v>
      </c>
      <c r="D69" s="60" t="s">
        <v>302</v>
      </c>
      <c r="E69" s="70">
        <f>SUMIF(Compras!D:D,D69,Compras!E:E)</f>
        <v>4</v>
      </c>
      <c r="F69" s="59">
        <f>SUMIF(Compras!D:D,Hoja2!D69,Compras!F:F)</f>
        <v>0</v>
      </c>
      <c r="G69" s="72">
        <f t="shared" ref="G69:G89" si="3">E69/(4*12)</f>
        <v>8.3333333333333329E-2</v>
      </c>
      <c r="H69" s="72">
        <f t="shared" si="2"/>
        <v>0</v>
      </c>
    </row>
    <row r="70" spans="3:8" x14ac:dyDescent="0.25">
      <c r="C70" s="60" t="s">
        <v>1626</v>
      </c>
      <c r="D70" s="60" t="s">
        <v>306</v>
      </c>
      <c r="E70" s="70">
        <f>SUMIF(Compras!D:D,D70,Compras!E:E)</f>
        <v>10</v>
      </c>
      <c r="F70" s="59">
        <f>SUMIF(Compras!D:D,Hoja2!D70,Compras!F:F)</f>
        <v>10</v>
      </c>
      <c r="G70" s="72">
        <f t="shared" si="3"/>
        <v>0.20833333333333334</v>
      </c>
      <c r="H70" s="72">
        <f t="shared" si="2"/>
        <v>0.20833333333333334</v>
      </c>
    </row>
    <row r="71" spans="3:8" x14ac:dyDescent="0.25">
      <c r="C71" s="60" t="s">
        <v>314</v>
      </c>
      <c r="D71" s="60" t="s">
        <v>314</v>
      </c>
      <c r="E71" s="70">
        <f>SUMIF(Compras!D:D,D71,Compras!E:E)</f>
        <v>4</v>
      </c>
      <c r="F71" s="59">
        <f>SUMIF(Compras!D:D,Hoja2!D71,Compras!F:F)</f>
        <v>0</v>
      </c>
      <c r="G71" s="72">
        <f t="shared" si="3"/>
        <v>8.3333333333333329E-2</v>
      </c>
      <c r="H71" s="72">
        <f t="shared" si="2"/>
        <v>0</v>
      </c>
    </row>
    <row r="72" spans="3:8" x14ac:dyDescent="0.25">
      <c r="C72" s="60" t="s">
        <v>1627</v>
      </c>
      <c r="D72" s="60" t="s">
        <v>316</v>
      </c>
      <c r="E72" s="70">
        <f>SUMIF(Compras!D:D,D72,Compras!E:E)</f>
        <v>3</v>
      </c>
      <c r="F72" s="59">
        <f>SUMIF(Compras!D:D,Hoja2!D72,Compras!F:F)</f>
        <v>0</v>
      </c>
      <c r="G72" s="72">
        <f t="shared" si="3"/>
        <v>6.25E-2</v>
      </c>
      <c r="H72" s="72">
        <f t="shared" si="2"/>
        <v>0</v>
      </c>
    </row>
    <row r="73" spans="3:8" x14ac:dyDescent="0.25">
      <c r="C73" s="60" t="s">
        <v>328</v>
      </c>
      <c r="D73" s="60" t="s">
        <v>328</v>
      </c>
      <c r="E73" s="70">
        <f>SUMIF(Compras!D:D,D73,Compras!E:E)</f>
        <v>1</v>
      </c>
      <c r="F73" s="59">
        <f>SUMIF(Compras!D:D,Hoja2!D73,Compras!F:F)</f>
        <v>0</v>
      </c>
      <c r="G73" s="72">
        <f t="shared" si="3"/>
        <v>2.0833333333333332E-2</v>
      </c>
      <c r="H73" s="72">
        <f t="shared" si="2"/>
        <v>0</v>
      </c>
    </row>
    <row r="74" spans="3:8" x14ac:dyDescent="0.25">
      <c r="C74" s="60" t="s">
        <v>1658</v>
      </c>
      <c r="D74" s="60" t="s">
        <v>330</v>
      </c>
      <c r="E74" s="70">
        <f>SUMIF(Compras!D:D,D74,Compras!E:E)</f>
        <v>5</v>
      </c>
      <c r="F74" s="59">
        <f>SUMIF(Compras!D:D,Hoja2!D74,Compras!F:F)</f>
        <v>0</v>
      </c>
      <c r="G74" s="72">
        <f t="shared" si="3"/>
        <v>0.10416666666666667</v>
      </c>
      <c r="H74" s="72">
        <f t="shared" si="2"/>
        <v>0</v>
      </c>
    </row>
    <row r="75" spans="3:8" x14ac:dyDescent="0.25">
      <c r="C75" s="60" t="s">
        <v>1628</v>
      </c>
      <c r="D75" s="60" t="s">
        <v>331</v>
      </c>
      <c r="E75" s="70">
        <f>SUMIF(Compras!D:D,D75,Compras!E:E)</f>
        <v>1</v>
      </c>
      <c r="F75" s="59">
        <f>SUMIF(Compras!D:D,Hoja2!D75,Compras!F:F)</f>
        <v>0</v>
      </c>
      <c r="G75" s="72">
        <f t="shared" si="3"/>
        <v>2.0833333333333332E-2</v>
      </c>
      <c r="H75" s="72">
        <f t="shared" si="2"/>
        <v>0</v>
      </c>
    </row>
    <row r="76" spans="3:8" x14ac:dyDescent="0.25">
      <c r="C76" s="60" t="s">
        <v>1629</v>
      </c>
      <c r="D76" s="60" t="s">
        <v>339</v>
      </c>
      <c r="E76" s="70">
        <f>SUMIF(Compras!D:D,D76,Compras!E:E)</f>
        <v>2</v>
      </c>
      <c r="F76" s="59">
        <f>SUMIF(Compras!D:D,Hoja2!D76,Compras!F:F)</f>
        <v>0</v>
      </c>
      <c r="G76" s="72">
        <f t="shared" si="3"/>
        <v>4.1666666666666664E-2</v>
      </c>
      <c r="H76" s="72">
        <f t="shared" si="2"/>
        <v>0</v>
      </c>
    </row>
    <row r="77" spans="3:8" x14ac:dyDescent="0.25">
      <c r="C77" s="60" t="s">
        <v>1659</v>
      </c>
      <c r="D77" s="60" t="s">
        <v>341</v>
      </c>
      <c r="E77" s="70">
        <f>SUMIF(Compras!D:D,D77,Compras!E:E)</f>
        <v>12</v>
      </c>
      <c r="F77" s="59">
        <f>SUMIF(Compras!D:D,Hoja2!D77,Compras!F:F)</f>
        <v>6</v>
      </c>
      <c r="G77" s="72">
        <f t="shared" si="3"/>
        <v>0.25</v>
      </c>
      <c r="H77" s="72">
        <f t="shared" si="2"/>
        <v>0.125</v>
      </c>
    </row>
    <row r="78" spans="3:8" x14ac:dyDescent="0.25">
      <c r="C78" s="60" t="s">
        <v>343</v>
      </c>
      <c r="D78" s="60" t="s">
        <v>343</v>
      </c>
      <c r="E78" s="70">
        <f>SUMIF(Compras!D:D,D78,Compras!E:E)</f>
        <v>2</v>
      </c>
      <c r="F78" s="59">
        <f>SUMIF(Compras!D:D,Hoja2!D78,Compras!F:F)</f>
        <v>0</v>
      </c>
      <c r="G78" s="72">
        <f t="shared" si="3"/>
        <v>4.1666666666666664E-2</v>
      </c>
      <c r="H78" s="72">
        <f t="shared" si="2"/>
        <v>0</v>
      </c>
    </row>
    <row r="79" spans="3:8" x14ac:dyDescent="0.25">
      <c r="C79" s="60" t="s">
        <v>1660</v>
      </c>
      <c r="D79" s="60" t="s">
        <v>346</v>
      </c>
      <c r="E79" s="70">
        <f>SUMIF(Compras!D:D,D79,Compras!E:E)</f>
        <v>20</v>
      </c>
      <c r="F79" s="59">
        <f>SUMIF(Compras!D:D,Hoja2!D79,Compras!F:F)</f>
        <v>5</v>
      </c>
      <c r="G79" s="72">
        <f t="shared" si="3"/>
        <v>0.41666666666666669</v>
      </c>
      <c r="H79" s="72">
        <f t="shared" si="2"/>
        <v>0.10416666666666667</v>
      </c>
    </row>
    <row r="80" spans="3:8" x14ac:dyDescent="0.25">
      <c r="C80" s="60" t="s">
        <v>354</v>
      </c>
      <c r="D80" s="60" t="s">
        <v>354</v>
      </c>
      <c r="E80" s="70">
        <f>SUMIF(Compras!D:D,D80,Compras!E:E)</f>
        <v>2</v>
      </c>
      <c r="F80" s="59">
        <f>SUMIF(Compras!D:D,Hoja2!D80,Compras!F:F)</f>
        <v>0</v>
      </c>
      <c r="G80" s="72">
        <f t="shared" si="3"/>
        <v>4.1666666666666664E-2</v>
      </c>
      <c r="H80" s="72">
        <f t="shared" si="2"/>
        <v>0</v>
      </c>
    </row>
    <row r="81" spans="3:8" x14ac:dyDescent="0.25">
      <c r="C81" s="59" t="s">
        <v>364</v>
      </c>
      <c r="D81" s="59" t="s">
        <v>364</v>
      </c>
      <c r="E81" s="70">
        <f>SUMIF(Compras!D:D,D81,Compras!E:E)</f>
        <v>1</v>
      </c>
      <c r="F81" s="59">
        <f>SUMIF(Compras!D:D,Hoja2!D81,Compras!F:F)</f>
        <v>0</v>
      </c>
      <c r="G81" s="72">
        <f t="shared" si="3"/>
        <v>2.0833333333333332E-2</v>
      </c>
      <c r="H81" s="72">
        <f t="shared" si="2"/>
        <v>0</v>
      </c>
    </row>
    <row r="82" spans="3:8" x14ac:dyDescent="0.25">
      <c r="C82" s="60" t="s">
        <v>365</v>
      </c>
      <c r="D82" s="60" t="s">
        <v>365</v>
      </c>
      <c r="E82" s="70">
        <f>SUMIF(Compras!D:D,D82,Compras!E:E)</f>
        <v>10</v>
      </c>
      <c r="F82" s="59">
        <f>SUMIF(Compras!D:D,Hoja2!D82,Compras!F:F)</f>
        <v>8</v>
      </c>
      <c r="G82" s="72">
        <f t="shared" si="3"/>
        <v>0.20833333333333334</v>
      </c>
      <c r="H82" s="72">
        <f t="shared" si="2"/>
        <v>0.16666666666666666</v>
      </c>
    </row>
    <row r="83" spans="3:8" x14ac:dyDescent="0.25">
      <c r="C83" s="60" t="s">
        <v>1661</v>
      </c>
      <c r="D83" s="60" t="s">
        <v>367</v>
      </c>
      <c r="E83" s="70">
        <f>SUMIF(Compras!D:D,D83,Compras!E:E)</f>
        <v>4</v>
      </c>
      <c r="F83" s="59">
        <f>SUMIF(Compras!D:D,Hoja2!D83,Compras!F:F)</f>
        <v>4</v>
      </c>
      <c r="G83" s="72">
        <f t="shared" si="3"/>
        <v>8.3333333333333329E-2</v>
      </c>
      <c r="H83" s="72">
        <f t="shared" si="2"/>
        <v>8.3333333333333329E-2</v>
      </c>
    </row>
    <row r="84" spans="3:8" x14ac:dyDescent="0.25">
      <c r="C84" s="60" t="s">
        <v>373</v>
      </c>
      <c r="D84" s="60" t="s">
        <v>373</v>
      </c>
      <c r="E84" s="70">
        <f>SUMIF(Compras!D:D,D84,Compras!E:E)</f>
        <v>6</v>
      </c>
      <c r="F84" s="59">
        <f>SUMIF(Compras!D:D,Hoja2!D84,Compras!F:F)</f>
        <v>0</v>
      </c>
      <c r="G84" s="72">
        <f t="shared" si="3"/>
        <v>0.125</v>
      </c>
      <c r="H84" s="72">
        <f t="shared" si="2"/>
        <v>0</v>
      </c>
    </row>
    <row r="85" spans="3:8" x14ac:dyDescent="0.25">
      <c r="C85" s="60" t="s">
        <v>1630</v>
      </c>
      <c r="D85" s="60" t="s">
        <v>377</v>
      </c>
      <c r="E85" s="70">
        <f>SUMIF(Compras!D:D,D85,Compras!E:E)</f>
        <v>2</v>
      </c>
      <c r="F85" s="59">
        <f>SUMIF(Compras!D:D,Hoja2!D85,Compras!F:F)</f>
        <v>0</v>
      </c>
      <c r="G85" s="72">
        <f t="shared" si="3"/>
        <v>4.1666666666666664E-2</v>
      </c>
      <c r="H85" s="72">
        <f t="shared" si="2"/>
        <v>0</v>
      </c>
    </row>
    <row r="86" spans="3:8" x14ac:dyDescent="0.25">
      <c r="C86" s="60" t="s">
        <v>1583</v>
      </c>
      <c r="D86" s="60" t="s">
        <v>1583</v>
      </c>
      <c r="E86" s="70">
        <f>SUMIF(Compras!D:D,D86,Compras!E:E)</f>
        <v>1</v>
      </c>
      <c r="F86" s="59">
        <f>SUMIF(Compras!D:D,Hoja2!D86,Compras!F:F)</f>
        <v>0</v>
      </c>
      <c r="G86" s="72">
        <f t="shared" si="3"/>
        <v>2.0833333333333332E-2</v>
      </c>
      <c r="H86" s="72">
        <f t="shared" si="2"/>
        <v>0</v>
      </c>
    </row>
    <row r="87" spans="3:8" x14ac:dyDescent="0.25">
      <c r="C87" s="46" t="s">
        <v>1585</v>
      </c>
      <c r="D87" s="46" t="s">
        <v>1585</v>
      </c>
      <c r="E87" s="70">
        <f>SUMIF(Compras!D:D,D87,Compras!E:E)</f>
        <v>6</v>
      </c>
      <c r="F87" s="59">
        <f>SUMIF(Compras!D:D,Hoja2!D87,Compras!F:F)</f>
        <v>2</v>
      </c>
      <c r="G87" s="72">
        <f t="shared" si="3"/>
        <v>0.125</v>
      </c>
      <c r="H87" s="72">
        <f t="shared" si="2"/>
        <v>4.1666666666666664E-2</v>
      </c>
    </row>
    <row r="88" spans="3:8" x14ac:dyDescent="0.25">
      <c r="C88" s="46" t="s">
        <v>1594</v>
      </c>
      <c r="D88" s="46" t="s">
        <v>1594</v>
      </c>
      <c r="E88" s="70">
        <f>SUMIF(Compras!D:D,D88,Compras!E:E)</f>
        <v>6</v>
      </c>
      <c r="F88" s="59">
        <f>SUMIF(Compras!D:D,Hoja2!D88,Compras!F:F)</f>
        <v>0</v>
      </c>
      <c r="G88" s="72">
        <f t="shared" si="3"/>
        <v>0.125</v>
      </c>
      <c r="H88" s="72">
        <f t="shared" si="2"/>
        <v>0</v>
      </c>
    </row>
    <row r="89" spans="3:8" x14ac:dyDescent="0.25">
      <c r="C89" s="46" t="s">
        <v>1645</v>
      </c>
      <c r="D89" s="46" t="s">
        <v>573</v>
      </c>
      <c r="E89" s="70">
        <f>SUMIF(Compras!D:D,D89,Compras!E:E)</f>
        <v>3</v>
      </c>
      <c r="F89" s="59">
        <f>SUMIF(Compras!D:D,Hoja2!D89,Compras!F:F)</f>
        <v>3</v>
      </c>
      <c r="G89" s="72">
        <f t="shared" si="3"/>
        <v>6.25E-2</v>
      </c>
      <c r="H89" s="72">
        <f t="shared" si="2"/>
        <v>6.25E-2</v>
      </c>
    </row>
  </sheetData>
  <autoFilter ref="C2:H89" xr:uid="{21CA80CB-CEA2-4CE2-A0E9-58520A65CD6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2E1ABB-FF2D-449F-B0E6-5F5B491AE3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Compras</vt:lpstr>
      <vt:lpstr>CODIGOS ACTIVOS</vt:lpstr>
      <vt:lpstr>Hoja1</vt:lpstr>
      <vt:lpstr>Hoja2</vt:lpstr>
      <vt:lpstr>'CODIGOS ACTIVOS'!OLE_LINK1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ALBERTO NUÑEZ VALERO</dc:creator>
  <cp:keywords/>
  <dc:description/>
  <cp:lastModifiedBy>LUIS ALBERTO NUÑEZ VALERO</cp:lastModifiedBy>
  <cp:revision/>
  <dcterms:created xsi:type="dcterms:W3CDTF">2024-11-01T15:08:59Z</dcterms:created>
  <dcterms:modified xsi:type="dcterms:W3CDTF">2026-07-10T19:37:22Z</dcterms:modified>
  <cp:category/>
  <cp:contentStatus/>
</cp:coreProperties>
</file>